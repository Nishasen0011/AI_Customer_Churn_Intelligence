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 Summary" sheetId="2" state="visible" r:id="rId4"/>
    <sheet name="Churn Analysis" sheetId="3" state="visible" r:id="rId5"/>
    <sheet name="Revenue Risk" sheetId="4" state="visible" r:id="rId6"/>
    <sheet name="Customer Segments" sheetId="5" state="visible" r:id="rId7"/>
    <sheet name="Business Insights" sheetId="6" state="visible" r:id="rId8"/>
    <sheet name="Methodology &amp; Skill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<sst xmlns="http://schemas.openxmlformats.org/spreadsheetml/2006/main" count="802" uniqueCount="629">
  <si>
    <t xml:space="preserve">⬡  ChurnIQ</t>
  </si>
  <si>
    <t xml:space="preserve">Customer Retention &amp; Revenue Risk Intelligence Dashboard</t>
  </si>
  <si>
    <t xml:space="preserve">AI-Driven Business Intelligence  |  Churn Analytics  |  Revenue Protection</t>
  </si>
  <si>
    <t xml:space="preserve">Total Customers</t>
  </si>
  <si>
    <t xml:space="preserve">Churn Rate</t>
  </si>
  <si>
    <t xml:space="preserve">Revenue at Risk</t>
  </si>
  <si>
    <t xml:space="preserve">Avg Monthly Charge</t>
  </si>
  <si>
    <t xml:space="preserve">7,043</t>
  </si>
  <si>
    <t xml:space="preserve">26.5%</t>
  </si>
  <si>
    <t xml:space="preserve">$2.86M</t>
  </si>
  <si>
    <t xml:space="preserve">$64.76</t>
  </si>
  <si>
    <t xml:space="preserve">▶</t>
  </si>
  <si>
    <t xml:space="preserve">About This Report</t>
  </si>
  <si>
    <t xml:space="preserve">ChurnIQ is an AI-powered Business Intelligence solution designed to identify customer attrition</t>
  </si>
  <si>
    <t xml:space="preserve">patterns, quantify revenue risk, and support proactive retention strategies. This report presents</t>
  </si>
  <si>
    <t xml:space="preserve">key findings across customer segmentation, contract analysis, and financial impact assessment.</t>
  </si>
  <si>
    <t xml:space="preserve">Report Sections</t>
  </si>
  <si>
    <t xml:space="preserve">  01</t>
  </si>
  <si>
    <t xml:space="preserve">Executive Summary</t>
  </si>
  <si>
    <t xml:space="preserve">High-level KPIs and strategic churn overview</t>
  </si>
  <si>
    <t xml:space="preserve">  02</t>
  </si>
  <si>
    <t xml:space="preserve">Churn Analysis</t>
  </si>
  <si>
    <t xml:space="preserve">Churn distribution, segmentation &amp; contract trends</t>
  </si>
  <si>
    <t xml:space="preserve">  03</t>
  </si>
  <si>
    <t xml:space="preserve">Revenue Risk</t>
  </si>
  <si>
    <t xml:space="preserve">Revenue at risk, annual loss estimation &amp; impact</t>
  </si>
  <si>
    <t xml:space="preserve">  04</t>
  </si>
  <si>
    <t xml:space="preserve">Customer Segments</t>
  </si>
  <si>
    <t xml:space="preserve">Behavioral segmentation &amp; risk tier classification</t>
  </si>
  <si>
    <t xml:space="preserve">  05</t>
  </si>
  <si>
    <t xml:space="preserve">Business Insights</t>
  </si>
  <si>
    <t xml:space="preserve">Key findings, drivers and recommendations</t>
  </si>
  <si>
    <t xml:space="preserve">  06</t>
  </si>
  <si>
    <t xml:space="preserve">Methodology &amp; Skills</t>
  </si>
  <si>
    <t xml:space="preserve">Tools, technologies, skills &amp; future roadmap</t>
  </si>
  <si>
    <t xml:space="preserve">Developed with Python · Power BI · Google Colab  |  Confidential — For Internal Use</t>
  </si>
  <si>
    <t xml:space="preserve">ChurnIQ BI Report  |  Python · Power BI · Google Colab  |  Confidential — Internal Use Only</t>
  </si>
  <si>
    <t xml:space="preserve">ChurnIQ  |  Executive Summary</t>
  </si>
  <si>
    <t xml:space="preserve">  ▌ Key Performance Indicators</t>
  </si>
  <si>
    <t xml:space="preserve">Churned</t>
  </si>
  <si>
    <t xml:space="preserve">Retained</t>
  </si>
  <si>
    <t xml:space="preserve">Avg Monthly $</t>
  </si>
  <si>
    <t xml:space="preserve">Telecom subscriber base</t>
  </si>
  <si>
    <t xml:space="preserve">Customers lost</t>
  </si>
  <si>
    <t xml:space="preserve">Active customers</t>
  </si>
  <si>
    <t xml:space="preserve">% customers churned</t>
  </si>
  <si>
    <t xml:space="preserve">Annual exposure</t>
  </si>
  <si>
    <t xml:space="preserve">Per customer</t>
  </si>
  <si>
    <t xml:space="preserve">  ▌ Churn by Contract Type</t>
  </si>
  <si>
    <t xml:space="preserve">  ▌ Churn by Internet Service</t>
  </si>
  <si>
    <t xml:space="preserve">Contract Type</t>
  </si>
  <si>
    <t xml:space="preserve">Service Type</t>
  </si>
  <si>
    <t xml:space="preserve">Customers</t>
  </si>
  <si>
    <t xml:space="preserve">Month-to-Month</t>
  </si>
  <si>
    <t xml:space="preserve">Fiber Optic</t>
  </si>
  <si>
    <t xml:space="preserve">41.9%</t>
  </si>
  <si>
    <t xml:space="preserve">One Year</t>
  </si>
  <si>
    <t xml:space="preserve">DSL</t>
  </si>
  <si>
    <t xml:space="preserve">18.9%</t>
  </si>
  <si>
    <t xml:space="preserve">Two Year</t>
  </si>
  <si>
    <t xml:space="preserve">No Internet</t>
  </si>
  <si>
    <t xml:space="preserve">7.4%</t>
  </si>
  <si>
    <t xml:space="preserve">  ▌ Churn Rate by Tenure Cohort</t>
  </si>
  <si>
    <t xml:space="preserve">Tenure Group</t>
  </si>
  <si>
    <t xml:space="preserve">0-12 Mo</t>
  </si>
  <si>
    <t xml:space="preserve">13-24 Mo</t>
  </si>
  <si>
    <t xml:space="preserve">25-36 Mo</t>
  </si>
  <si>
    <t xml:space="preserve">37-48 Mo</t>
  </si>
  <si>
    <t xml:space="preserve">49-60 Mo</t>
  </si>
  <si>
    <t xml:space="preserve">60+ Mo</t>
  </si>
  <si>
    <t xml:space="preserve">47.7%</t>
  </si>
  <si>
    <t xml:space="preserve">35.1%</t>
  </si>
  <si>
    <t xml:space="preserve">26.9%</t>
  </si>
  <si>
    <t xml:space="preserve">21.1%</t>
  </si>
  <si>
    <t xml:space="preserve">17.4%</t>
  </si>
  <si>
    <t xml:space="preserve">8.9%</t>
  </si>
  <si>
    <t xml:space="preserve">1,329</t>
  </si>
  <si>
    <t xml:space="preserve">  997</t>
  </si>
  <si>
    <t xml:space="preserve">  892</t>
  </si>
  <si>
    <t xml:space="preserve">  815</t>
  </si>
  <si>
    <t xml:space="preserve">  779</t>
  </si>
  <si>
    <t xml:space="preserve">1,231</t>
  </si>
  <si>
    <t xml:space="preserve">  ▌ Strategic Highlights</t>
  </si>
  <si>
    <t xml:space="preserve">  ⚠  Month-to-month contracts drive 88.5% of total churn — highest risk segment</t>
  </si>
  <si>
    <t xml:space="preserve">  📡  Fiber Optic customers churn at 41.9%, nearly 2× the overall average</t>
  </si>
  <si>
    <t xml:space="preserve">  💰  Total estimated annual revenue loss from churn: $2.86 Million</t>
  </si>
  <si>
    <t xml:space="preserve">  🕐  New customers (0–12 months) are 5× more likely to churn than 60+ month customers</t>
  </si>
  <si>
    <t xml:space="preserve">  ✅  Customers on 2-year contracts show only 2.8% churn — strongest retention signal</t>
  </si>
  <si>
    <t xml:space="preserve">ChurnIQ  |  Churn Analysis</t>
  </si>
  <si>
    <t xml:space="preserve">  ▌ Churn Distribution Overview</t>
  </si>
  <si>
    <t xml:space="preserve">Metric</t>
  </si>
  <si>
    <t xml:space="preserve">Value</t>
  </si>
  <si>
    <t xml:space="preserve">Churned Customers</t>
  </si>
  <si>
    <t xml:space="preserve">Retained Customers</t>
  </si>
  <si>
    <t xml:space="preserve">Revenue Impact</t>
  </si>
  <si>
    <t xml:space="preserve">Risk Level</t>
  </si>
  <si>
    <t xml:space="preserve">Notes</t>
  </si>
  <si>
    <t xml:space="preserve">Overall</t>
  </si>
  <si>
    <t xml:space="preserve">All Customers</t>
  </si>
  <si>
    <t xml:space="preserve">$2,862,927</t>
  </si>
  <si>
    <t xml:space="preserve">HIGH</t>
  </si>
  <si>
    <t xml:space="preserve">Primary attention area</t>
  </si>
  <si>
    <t xml:space="preserve">By Gender</t>
  </si>
  <si>
    <t xml:space="preserve">Male</t>
  </si>
  <si>
    <t xml:space="preserve">26.3%</t>
  </si>
  <si>
    <t xml:space="preserve">$1,431,234</t>
  </si>
  <si>
    <t xml:space="preserve">Comparable churn rates</t>
  </si>
  <si>
    <t xml:space="preserve">Female</t>
  </si>
  <si>
    <t xml:space="preserve">26.7%</t>
  </si>
  <si>
    <t xml:space="preserve">$1,431,693</t>
  </si>
  <si>
    <t xml:space="preserve">Senior</t>
  </si>
  <si>
    <t xml:space="preserve">Senior Citizens</t>
  </si>
  <si>
    <t xml:space="preserve">41.7%</t>
  </si>
  <si>
    <t xml:space="preserve">$763,200</t>
  </si>
  <si>
    <t xml:space="preserve">CRITICAL</t>
  </si>
  <si>
    <t xml:space="preserve">Needs targeted plan</t>
  </si>
  <si>
    <t xml:space="preserve">Non-Senior</t>
  </si>
  <si>
    <t xml:space="preserve">23.3%</t>
  </si>
  <si>
    <t xml:space="preserve">$2,099,727</t>
  </si>
  <si>
    <t xml:space="preserve">MEDIUM</t>
  </si>
  <si>
    <t xml:space="preserve">Baseline churn level</t>
  </si>
  <si>
    <t xml:space="preserve">Has Partner</t>
  </si>
  <si>
    <t xml:space="preserve">With Partner</t>
  </si>
  <si>
    <t xml:space="preserve">22.4%</t>
  </si>
  <si>
    <t xml:space="preserve">$1,067,200</t>
  </si>
  <si>
    <t xml:space="preserve">Lower risk group</t>
  </si>
  <si>
    <t xml:space="preserve">No Partner</t>
  </si>
  <si>
    <t xml:space="preserve">Without Partner</t>
  </si>
  <si>
    <t xml:space="preserve">29.6%</t>
  </si>
  <si>
    <t xml:space="preserve">$1,795,727</t>
  </si>
  <si>
    <t xml:space="preserve">Higher churn exposure</t>
  </si>
  <si>
    <t xml:space="preserve">Dependents</t>
  </si>
  <si>
    <t xml:space="preserve">With Dependents</t>
  </si>
  <si>
    <t xml:space="preserve">11.6%</t>
  </si>
  <si>
    <t xml:space="preserve">$521,600</t>
  </si>
  <si>
    <t xml:space="preserve">LOW</t>
  </si>
  <si>
    <t xml:space="preserve">Most stable segment</t>
  </si>
  <si>
    <t xml:space="preserve">No Deps</t>
  </si>
  <si>
    <t xml:space="preserve">No Dependents</t>
  </si>
  <si>
    <t xml:space="preserve">36.4%</t>
  </si>
  <si>
    <t xml:space="preserve">$2,341,327</t>
  </si>
  <si>
    <t xml:space="preserve">Highest volume risk</t>
  </si>
  <si>
    <t xml:space="preserve">  ▌ Churn by Segment Detail</t>
  </si>
  <si>
    <t xml:space="preserve">  ▌ Churn by Payment Method</t>
  </si>
  <si>
    <t xml:space="preserve">Service Add-On</t>
  </si>
  <si>
    <t xml:space="preserve">Payment Method</t>
  </si>
  <si>
    <t xml:space="preserve">Churn %</t>
  </si>
  <si>
    <t xml:space="preserve">Phone Service</t>
  </si>
  <si>
    <t xml:space="preserve">Electronic Check</t>
  </si>
  <si>
    <t xml:space="preserve">45.3%</t>
  </si>
  <si>
    <t xml:space="preserve">Multiple Lines</t>
  </si>
  <si>
    <t xml:space="preserve">28.8%</t>
  </si>
  <si>
    <t xml:space="preserve">Mailed Check</t>
  </si>
  <si>
    <t xml:space="preserve">19.1%</t>
  </si>
  <si>
    <t xml:space="preserve">Online Security</t>
  </si>
  <si>
    <t xml:space="preserve">14.7%</t>
  </si>
  <si>
    <t xml:space="preserve">Bank Transfer (Auto)</t>
  </si>
  <si>
    <t xml:space="preserve">16.7%</t>
  </si>
  <si>
    <t xml:space="preserve">Online Backup</t>
  </si>
  <si>
    <t xml:space="preserve">19.6%</t>
  </si>
  <si>
    <t xml:space="preserve">Credit Card (Auto)</t>
  </si>
  <si>
    <t xml:space="preserve">15.2%</t>
  </si>
  <si>
    <t xml:space="preserve">Device Protection</t>
  </si>
  <si>
    <t xml:space="preserve">19.8%</t>
  </si>
  <si>
    <t xml:space="preserve">Tech Support</t>
  </si>
  <si>
    <t xml:space="preserve">Streaming TV</t>
  </si>
  <si>
    <t xml:space="preserve">24.5%</t>
  </si>
  <si>
    <t xml:space="preserve">Streaming Movies</t>
  </si>
  <si>
    <t xml:space="preserve">25.4%</t>
  </si>
  <si>
    <t xml:space="preserve">Paperless Billing</t>
  </si>
  <si>
    <t xml:space="preserve">33.6%</t>
  </si>
  <si>
    <t xml:space="preserve">ChurnIQ  |  Revenue Risk Intelligence</t>
  </si>
  <si>
    <t xml:space="preserve">  ▌ Revenue Risk KPIs</t>
  </si>
  <si>
    <t xml:space="preserve">Total Monthly Revenue</t>
  </si>
  <si>
    <t xml:space="preserve">$455,283</t>
  </si>
  <si>
    <t xml:space="preserve">Full subscriber base</t>
  </si>
  <si>
    <t xml:space="preserve">Monthly Rev Lost</t>
  </si>
  <si>
    <t xml:space="preserve">$139,130</t>
  </si>
  <si>
    <t xml:space="preserve">From churned customers</t>
  </si>
  <si>
    <t xml:space="preserve">Annual Rev Lost</t>
  </si>
  <si>
    <t xml:space="preserve">Projected annual loss (×12 est)</t>
  </si>
  <si>
    <t xml:space="preserve">Avg Rev per Churner</t>
  </si>
  <si>
    <t xml:space="preserve">$74.44</t>
  </si>
  <si>
    <t xml:space="preserve">Monthly per churned customer</t>
  </si>
  <si>
    <t xml:space="preserve">Avg Rev per Retained</t>
  </si>
  <si>
    <t xml:space="preserve">$61.27</t>
  </si>
  <si>
    <t xml:space="preserve">Monthly per retained customer</t>
  </si>
  <si>
    <t xml:space="preserve">Revenue Retention %</t>
  </si>
  <si>
    <t xml:space="preserve">69.5%</t>
  </si>
  <si>
    <t xml:space="preserve">% revenue retained</t>
  </si>
  <si>
    <t xml:space="preserve">Critical Risk Rev</t>
  </si>
  <si>
    <t xml:space="preserve">Senior segment annual risk</t>
  </si>
  <si>
    <t xml:space="preserve">  ▌ Revenue Risk by Contract Type</t>
  </si>
  <si>
    <t xml:space="preserve">Contract</t>
  </si>
  <si>
    <t xml:space="preserve">Total Revenue</t>
  </si>
  <si>
    <t xml:space="preserve">Churned Rev</t>
  </si>
  <si>
    <t xml:space="preserve">Risk %</t>
  </si>
  <si>
    <t xml:space="preserve">Annual Loss</t>
  </si>
  <si>
    <t xml:space="preserve">Retained Rev</t>
  </si>
  <si>
    <t xml:space="preserve">$237,459</t>
  </si>
  <si>
    <t xml:space="preserve">$103,426</t>
  </si>
  <si>
    <t xml:space="preserve">43.5%</t>
  </si>
  <si>
    <t xml:space="preserve">$1,241,112</t>
  </si>
  <si>
    <t xml:space="preserve">$133,033</t>
  </si>
  <si>
    <t xml:space="preserve">$116,847</t>
  </si>
  <si>
    <t xml:space="preserve">$22,684</t>
  </si>
  <si>
    <t xml:space="preserve">19.4%</t>
  </si>
  <si>
    <t xml:space="preserve">$272,208</t>
  </si>
  <si>
    <t xml:space="preserve">$94,163</t>
  </si>
  <si>
    <t xml:space="preserve">$100,977</t>
  </si>
  <si>
    <t xml:space="preserve">$3,892</t>
  </si>
  <si>
    <t xml:space="preserve"> 3.9%</t>
  </si>
  <si>
    <t xml:space="preserve">$46,704</t>
  </si>
  <si>
    <t xml:space="preserve">$97,085</t>
  </si>
  <si>
    <t xml:space="preserve">TOTAL</t>
  </si>
  <si>
    <t xml:space="preserve">$130,002</t>
  </si>
  <si>
    <t xml:space="preserve">28.6%</t>
  </si>
  <si>
    <t xml:space="preserve">$1,560,024</t>
  </si>
  <si>
    <t xml:space="preserve">$325,281</t>
  </si>
  <si>
    <t xml:space="preserve">  ▌ Churn vs Monthly Charges Distribution</t>
  </si>
  <si>
    <t xml:space="preserve">Charge Bucket</t>
  </si>
  <si>
    <t xml:space="preserve">Avg Charge</t>
  </si>
  <si>
    <t xml:space="preserve">Risk</t>
  </si>
  <si>
    <t xml:space="preserve">$0–$30</t>
  </si>
  <si>
    <t xml:space="preserve">15.9%</t>
  </si>
  <si>
    <t xml:space="preserve">$21.50</t>
  </si>
  <si>
    <t xml:space="preserve">$47,472</t>
  </si>
  <si>
    <t xml:space="preserve">$30–$60</t>
  </si>
  <si>
    <t xml:space="preserve">23.1%</t>
  </si>
  <si>
    <t xml:space="preserve">$46.23</t>
  </si>
  <si>
    <t xml:space="preserve">$247,923</t>
  </si>
  <si>
    <t xml:space="preserve">$60–$90</t>
  </si>
  <si>
    <t xml:space="preserve">34.3%</t>
  </si>
  <si>
    <t xml:space="preserve">$74.90</t>
  </si>
  <si>
    <t xml:space="preserve">$659,234</t>
  </si>
  <si>
    <t xml:space="preserve">$90–$120</t>
  </si>
  <si>
    <t xml:space="preserve">27.8%</t>
  </si>
  <si>
    <t xml:space="preserve">$104.34</t>
  </si>
  <si>
    <t xml:space="preserve">$630,475</t>
  </si>
  <si>
    <t xml:space="preserve">$120+</t>
  </si>
  <si>
    <t xml:space="preserve">37.7%</t>
  </si>
  <si>
    <t xml:space="preserve">$104.74</t>
  </si>
  <si>
    <t xml:space="preserve">$392,375</t>
  </si>
  <si>
    <t xml:space="preserve">ChurnIQ  |  Customer Segments &amp; Risk Classification</t>
  </si>
  <si>
    <t xml:space="preserve">  ▌ Customer Risk Tier Classification</t>
  </si>
  <si>
    <t xml:space="preserve">Risk Tier</t>
  </si>
  <si>
    <t xml:space="preserve">Definition</t>
  </si>
  <si>
    <t xml:space="preserve">% of Base</t>
  </si>
  <si>
    <t xml:space="preserve">Annual Rev Risk</t>
  </si>
  <si>
    <t xml:space="preserve">Priority</t>
  </si>
  <si>
    <t xml:space="preserve">🔴 CRITICAL</t>
  </si>
  <si>
    <t xml:space="preserve">Month-to-Month + Fiber + Electronic Check</t>
  </si>
  <si>
    <t xml:space="preserve"> 8.7%</t>
  </si>
  <si>
    <t xml:space="preserve">45.8%</t>
  </si>
  <si>
    <t xml:space="preserve">$89.20</t>
  </si>
  <si>
    <t xml:space="preserve">$597,600</t>
  </si>
  <si>
    <t xml:space="preserve">Immediate Action</t>
  </si>
  <si>
    <t xml:space="preserve">🟠 HIGH</t>
  </si>
  <si>
    <t xml:space="preserve">Month-to-Month + Any Service</t>
  </si>
  <si>
    <t xml:space="preserve">46.3%</t>
  </si>
  <si>
    <t xml:space="preserve">37.2%</t>
  </si>
  <si>
    <t xml:space="preserve">$74.50</t>
  </si>
  <si>
    <t xml:space="preserve">$2,265,327</t>
  </si>
  <si>
    <t xml:space="preserve">Proactive Outreach</t>
  </si>
  <si>
    <t xml:space="preserve">🟡 MEDIUM</t>
  </si>
  <si>
    <t xml:space="preserve">One-Year Contract + Digital Services</t>
  </si>
  <si>
    <t xml:space="preserve">20.9%</t>
  </si>
  <si>
    <t xml:space="preserve">11.3%</t>
  </si>
  <si>
    <t xml:space="preserve">$58.20</t>
  </si>
  <si>
    <t xml:space="preserve">Loyalty Program</t>
  </si>
  <si>
    <t xml:space="preserve">🟢 LOW</t>
  </si>
  <si>
    <t xml:space="preserve">Two-Year Contract + Multiple Services</t>
  </si>
  <si>
    <t xml:space="preserve">24.1%</t>
  </si>
  <si>
    <t xml:space="preserve"> 2.8%</t>
  </si>
  <si>
    <t xml:space="preserve">$59.60</t>
  </si>
  <si>
    <t xml:space="preserve">$46,800</t>
  </si>
  <si>
    <t xml:space="preserve">Reward &amp; Retain</t>
  </si>
  <si>
    <t xml:space="preserve">  ▌ Behavioral Segment Analysis</t>
  </si>
  <si>
    <t xml:space="preserve">Segment</t>
  </si>
  <si>
    <t xml:space="preserve">Size</t>
  </si>
  <si>
    <t xml:space="preserve">Avg Tenure</t>
  </si>
  <si>
    <t xml:space="preserve">Monthly Chg</t>
  </si>
  <si>
    <t xml:space="preserve">Top Churn Driver</t>
  </si>
  <si>
    <t xml:space="preserve">Retention Score</t>
  </si>
  <si>
    <t xml:space="preserve">Strategy</t>
  </si>
  <si>
    <t xml:space="preserve">New Subscribers</t>
  </si>
  <si>
    <t xml:space="preserve">  5 mo</t>
  </si>
  <si>
    <t xml:space="preserve">$52.30</t>
  </si>
  <si>
    <t xml:space="preserve">No commitment</t>
  </si>
  <si>
    <t xml:space="preserve">2.1 / 10</t>
  </si>
  <si>
    <t xml:space="preserve">Onboarding Pack</t>
  </si>
  <si>
    <t xml:space="preserve">Early Adopters</t>
  </si>
  <si>
    <t xml:space="preserve"> 18 mo</t>
  </si>
  <si>
    <t xml:space="preserve">$61.40</t>
  </si>
  <si>
    <t xml:space="preserve">High charges</t>
  </si>
  <si>
    <t xml:space="preserve">4.3 / 10</t>
  </si>
  <si>
    <t xml:space="preserve">Loyalty Discount</t>
  </si>
  <si>
    <t xml:space="preserve">Developing</t>
  </si>
  <si>
    <t xml:space="preserve"> 30 mo</t>
  </si>
  <si>
    <t xml:space="preserve">$63.80</t>
  </si>
  <si>
    <t xml:space="preserve">Limited bundles</t>
  </si>
  <si>
    <t xml:space="preserve">5.7 / 10</t>
  </si>
  <si>
    <t xml:space="preserve">Bundle Offer</t>
  </si>
  <si>
    <t xml:space="preserve">Established</t>
  </si>
  <si>
    <t xml:space="preserve"> 42 mo</t>
  </si>
  <si>
    <t xml:space="preserve">$66.20</t>
  </si>
  <si>
    <t xml:space="preserve">Better offers</t>
  </si>
  <si>
    <t xml:space="preserve">6.8 / 10</t>
  </si>
  <si>
    <t xml:space="preserve">Upgrade Program</t>
  </si>
  <si>
    <t xml:space="preserve">Loyal</t>
  </si>
  <si>
    <t xml:space="preserve"> 54 mo</t>
  </si>
  <si>
    <t xml:space="preserve">$69.50</t>
  </si>
  <si>
    <t xml:space="preserve">Price sensitivity</t>
  </si>
  <si>
    <t xml:space="preserve">7.9 / 10</t>
  </si>
  <si>
    <t xml:space="preserve">VIP Benefits</t>
  </si>
  <si>
    <t xml:space="preserve">Champions</t>
  </si>
  <si>
    <t xml:space="preserve"> 72 mo</t>
  </si>
  <si>
    <t xml:space="preserve">$73.40</t>
  </si>
  <si>
    <t xml:space="preserve"> 8.9%</t>
  </si>
  <si>
    <t xml:space="preserve">Minor issues</t>
  </si>
  <si>
    <t xml:space="preserve">9.1 / 10</t>
  </si>
  <si>
    <t xml:space="preserve">Ambassador Program</t>
  </si>
  <si>
    <t xml:space="preserve">Senior Segment</t>
  </si>
  <si>
    <t xml:space="preserve"> 38 mo</t>
  </si>
  <si>
    <t xml:space="preserve">$72.80</t>
  </si>
  <si>
    <t xml:space="preserve">Complex billing</t>
  </si>
  <si>
    <t xml:space="preserve">3.4 / 10</t>
  </si>
  <si>
    <t xml:space="preserve">Simplify Plan</t>
  </si>
  <si>
    <t xml:space="preserve">Family Accounts</t>
  </si>
  <si>
    <t xml:space="preserve"> 41 mo</t>
  </si>
  <si>
    <t xml:space="preserve">$58.10</t>
  </si>
  <si>
    <t xml:space="preserve">Low motivation</t>
  </si>
  <si>
    <t xml:space="preserve">7.5 / 10</t>
  </si>
  <si>
    <t xml:space="preserve">Family Bundle</t>
  </si>
  <si>
    <t xml:space="preserve">  ▌ Estimated Customer Lifetime Value (CLV) by Segment</t>
  </si>
  <si>
    <t xml:space="preserve">Monthly Rev</t>
  </si>
  <si>
    <t xml:space="preserve">Est CLV</t>
  </si>
  <si>
    <t xml:space="preserve">Churn Impact</t>
  </si>
  <si>
    <t xml:space="preserve">Replacement Cost</t>
  </si>
  <si>
    <t xml:space="preserve">Net CLV</t>
  </si>
  <si>
    <t xml:space="preserve">72 mo</t>
  </si>
  <si>
    <t xml:space="preserve">$5,285</t>
  </si>
  <si>
    <t xml:space="preserve">Low</t>
  </si>
  <si>
    <t xml:space="preserve">$250</t>
  </si>
  <si>
    <t xml:space="preserve">$5,035</t>
  </si>
  <si>
    <t xml:space="preserve">PRESERVE</t>
  </si>
  <si>
    <t xml:space="preserve">54 mo</t>
  </si>
  <si>
    <t xml:space="preserve">$3,753</t>
  </si>
  <si>
    <t xml:space="preserve">Medium</t>
  </si>
  <si>
    <t xml:space="preserve">$300</t>
  </si>
  <si>
    <t xml:space="preserve">$3,453</t>
  </si>
  <si>
    <t xml:space="preserve">REWARD</t>
  </si>
  <si>
    <t xml:space="preserve">41 mo</t>
  </si>
  <si>
    <t xml:space="preserve">$2,382</t>
  </si>
  <si>
    <t xml:space="preserve">$280</t>
  </si>
  <si>
    <t xml:space="preserve">$2,102</t>
  </si>
  <si>
    <t xml:space="preserve">BUNDLE</t>
  </si>
  <si>
    <t xml:space="preserve">42 mo</t>
  </si>
  <si>
    <t xml:space="preserve">$2,780</t>
  </si>
  <si>
    <t xml:space="preserve">$310</t>
  </si>
  <si>
    <t xml:space="preserve">$2,470</t>
  </si>
  <si>
    <t xml:space="preserve">UPGRADE</t>
  </si>
  <si>
    <t xml:space="preserve">30 mo</t>
  </si>
  <si>
    <t xml:space="preserve">$1,914</t>
  </si>
  <si>
    <t xml:space="preserve">$320</t>
  </si>
  <si>
    <t xml:space="preserve">$1,594</t>
  </si>
  <si>
    <t xml:space="preserve">ENGAGE</t>
  </si>
  <si>
    <t xml:space="preserve">18 mo</t>
  </si>
  <si>
    <t xml:space="preserve">$1,105</t>
  </si>
  <si>
    <t xml:space="preserve">High</t>
  </si>
  <si>
    <t xml:space="preserve">$350</t>
  </si>
  <si>
    <t xml:space="preserve">$755</t>
  </si>
  <si>
    <t xml:space="preserve">CONVERT</t>
  </si>
  <si>
    <t xml:space="preserve">New Subs</t>
  </si>
  <si>
    <t xml:space="preserve">5 mo</t>
  </si>
  <si>
    <t xml:space="preserve">$ 262</t>
  </si>
  <si>
    <t xml:space="preserve">Critical</t>
  </si>
  <si>
    <t xml:space="preserve">$400</t>
  </si>
  <si>
    <t xml:space="preserve">-$138</t>
  </si>
  <si>
    <t xml:space="preserve">ONBOARD</t>
  </si>
  <si>
    <t xml:space="preserve">38 mo</t>
  </si>
  <si>
    <t xml:space="preserve">$2,766</t>
  </si>
  <si>
    <t xml:space="preserve">$380</t>
  </si>
  <si>
    <t xml:space="preserve">$2,386</t>
  </si>
  <si>
    <t xml:space="preserve">SIMPLIFY</t>
  </si>
  <si>
    <t xml:space="preserve">ChurnIQ  |  Business Insights &amp; Recommendations</t>
  </si>
  <si>
    <t xml:space="preserve">  ▌ Top Churn-Driving Factors</t>
  </si>
  <si>
    <t xml:space="preserve">Rank</t>
  </si>
  <si>
    <t xml:space="preserve">Factor</t>
  </si>
  <si>
    <t xml:space="preserve">Impact</t>
  </si>
  <si>
    <t xml:space="preserve">Affected %</t>
  </si>
  <si>
    <t xml:space="preserve">Recommended Action</t>
  </si>
  <si>
    <t xml:space="preserve">#1</t>
  </si>
  <si>
    <t xml:space="preserve">Month-to-Month Contract</t>
  </si>
  <si>
    <t xml:space="preserve">55.0%</t>
  </si>
  <si>
    <t xml:space="preserve">42.7%</t>
  </si>
  <si>
    <t xml:space="preserve">$1.24M</t>
  </si>
  <si>
    <t xml:space="preserve">Incentivise long-term contracts</t>
  </si>
  <si>
    <t xml:space="preserve">#2</t>
  </si>
  <si>
    <t xml:space="preserve">Fiber Optic Internet</t>
  </si>
  <si>
    <t xml:space="preserve">44.0%</t>
  </si>
  <si>
    <t xml:space="preserve">$0.86M</t>
  </si>
  <si>
    <t xml:space="preserve">Review pricing &amp; service quality</t>
  </si>
  <si>
    <t xml:space="preserve">#3</t>
  </si>
  <si>
    <t xml:space="preserve">Electronic Check Payment</t>
  </si>
  <si>
    <t xml:space="preserve">$0.76M</t>
  </si>
  <si>
    <t xml:space="preserve">Promote auto-pay discounts</t>
  </si>
  <si>
    <t xml:space="preserve">#4</t>
  </si>
  <si>
    <t xml:space="preserve">Short Tenure (&lt;12 mo)</t>
  </si>
  <si>
    <t xml:space="preserve">$0.52M</t>
  </si>
  <si>
    <t xml:space="preserve">Enhance onboarding experience</t>
  </si>
  <si>
    <t xml:space="preserve">#5</t>
  </si>
  <si>
    <t xml:space="preserve">High Monthly Charges</t>
  </si>
  <si>
    <t xml:space="preserve">37.6%</t>
  </si>
  <si>
    <t xml:space="preserve">$0.71M</t>
  </si>
  <si>
    <t xml:space="preserve">Introduce tiered pricing options</t>
  </si>
  <si>
    <t xml:space="preserve">#6</t>
  </si>
  <si>
    <t xml:space="preserve">14.9%</t>
  </si>
  <si>
    <t xml:space="preserve">Create senior-friendly plans</t>
  </si>
  <si>
    <t xml:space="preserve">#7</t>
  </si>
  <si>
    <t xml:space="preserve">No Value-Add Services</t>
  </si>
  <si>
    <t xml:space="preserve">29.0%</t>
  </si>
  <si>
    <t xml:space="preserve">25.0%</t>
  </si>
  <si>
    <t xml:space="preserve">$0.48M</t>
  </si>
  <si>
    <t xml:space="preserve">Bundle security &amp; backup services</t>
  </si>
  <si>
    <t xml:space="preserve">#8</t>
  </si>
  <si>
    <t xml:space="preserve">59.2%</t>
  </si>
  <si>
    <t xml:space="preserve">$0.63M</t>
  </si>
  <si>
    <t xml:space="preserve">Improve billing transparency</t>
  </si>
  <si>
    <t xml:space="preserve">#9</t>
  </si>
  <si>
    <t xml:space="preserve">Single-Person Households</t>
  </si>
  <si>
    <t xml:space="preserve">40.5%</t>
  </si>
  <si>
    <t xml:space="preserve">$0.44M</t>
  </si>
  <si>
    <t xml:space="preserve">Offer individual loyalty perks</t>
  </si>
  <si>
    <t xml:space="preserve">#10</t>
  </si>
  <si>
    <t xml:space="preserve">No Phone Service</t>
  </si>
  <si>
    <t xml:space="preserve">13.5%</t>
  </si>
  <si>
    <t xml:space="preserve">25.1%</t>
  </si>
  <si>
    <t xml:space="preserve">$0.22M</t>
  </si>
  <si>
    <t xml:space="preserve">Bundle phone &amp; data packages</t>
  </si>
  <si>
    <t xml:space="preserve">  ▌ Retention Strategy Roadmap</t>
  </si>
  <si>
    <t xml:space="preserve">Initiative</t>
  </si>
  <si>
    <t xml:space="preserve">Timeline</t>
  </si>
  <si>
    <t xml:space="preserve">Target Segment</t>
  </si>
  <si>
    <t xml:space="preserve">Expected Churn ↓</t>
  </si>
  <si>
    <t xml:space="preserve">Revenue Saved</t>
  </si>
  <si>
    <t xml:space="preserve">Status</t>
  </si>
  <si>
    <t xml:space="preserve">Long-Term Contract Incentives</t>
  </si>
  <si>
    <t xml:space="preserve">Q1</t>
  </si>
  <si>
    <t xml:space="preserve">−12%</t>
  </si>
  <si>
    <t xml:space="preserve">$273,000</t>
  </si>
  <si>
    <t xml:space="preserve">Plan</t>
  </si>
  <si>
    <t xml:space="preserve">Fiber Quality Improvement</t>
  </si>
  <si>
    <t xml:space="preserve">−8%</t>
  </si>
  <si>
    <t xml:space="preserve">$189,000</t>
  </si>
  <si>
    <t xml:space="preserve">Auto-Pay Enrollment Campaign</t>
  </si>
  <si>
    <t xml:space="preserve">−6%</t>
  </si>
  <si>
    <t xml:space="preserve">$142,000</t>
  </si>
  <si>
    <t xml:space="preserve">Onboarding Excellence Program</t>
  </si>
  <si>
    <t xml:space="preserve">Q2</t>
  </si>
  <si>
    <t xml:space="preserve">−15%</t>
  </si>
  <si>
    <t xml:space="preserve">$118,000</t>
  </si>
  <si>
    <t xml:space="preserve">Senior Simplified Plans</t>
  </si>
  <si>
    <t xml:space="preserve">−10%</t>
  </si>
  <si>
    <t xml:space="preserve">$163,000</t>
  </si>
  <si>
    <t xml:space="preserve">Value Bundle Upsell</t>
  </si>
  <si>
    <t xml:space="preserve">All Segments</t>
  </si>
  <si>
    <t xml:space="preserve">−5%</t>
  </si>
  <si>
    <t xml:space="preserve">$97,000</t>
  </si>
  <si>
    <t xml:space="preserve">Backlog</t>
  </si>
  <si>
    <t xml:space="preserve">VIP Loyalty Rewards</t>
  </si>
  <si>
    <t xml:space="preserve">Q3</t>
  </si>
  <si>
    <t xml:space="preserve">Champions/Loyal</t>
  </si>
  <si>
    <t xml:space="preserve">−3%</t>
  </si>
  <si>
    <t xml:space="preserve">$58,000</t>
  </si>
  <si>
    <t xml:space="preserve">AI Churn Prediction Engine</t>
  </si>
  <si>
    <t xml:space="preserve">Q4</t>
  </si>
  <si>
    <t xml:space="preserve">$185,000</t>
  </si>
  <si>
    <t xml:space="preserve">Roadmap</t>
  </si>
  <si>
    <t xml:space="preserve">  ▌ Expected Business Impact (12-Month Projection)</t>
  </si>
  <si>
    <t xml:space="preserve">Current Annual Churn Cost</t>
  </si>
  <si>
    <t xml:space="preserve">Baseline</t>
  </si>
  <si>
    <t xml:space="preserve">Projected Savings (All Plans)</t>
  </si>
  <si>
    <t xml:space="preserve">$1,225,000</t>
  </si>
  <si>
    <t xml:space="preserve">If all executed</t>
  </si>
  <si>
    <t xml:space="preserve">Net Revenue Protection</t>
  </si>
  <si>
    <t xml:space="preserve">$1,637,927</t>
  </si>
  <si>
    <t xml:space="preserve">Post-strategies</t>
  </si>
  <si>
    <t xml:space="preserve">ROI on Retention Investment</t>
  </si>
  <si>
    <t xml:space="preserve">245%</t>
  </si>
  <si>
    <t xml:space="preserve">Estimated</t>
  </si>
  <si>
    <t xml:space="preserve">Target Churn Rate</t>
  </si>
  <si>
    <t xml:space="preserve">18.0%</t>
  </si>
  <si>
    <t xml:space="preserve">From 26.5%</t>
  </si>
  <si>
    <t xml:space="preserve">Customers Saved (Est)</t>
  </si>
  <si>
    <t xml:space="preserve">596</t>
  </si>
  <si>
    <t xml:space="preserve">Recovered</t>
  </si>
  <si>
    <t xml:space="preserve">ChurnIQ  |  Methodology, Tools &amp; Skills Portfolio</t>
  </si>
  <si>
    <t xml:space="preserve">  ▌ Technology Stack</t>
  </si>
  <si>
    <t xml:space="preserve">Category</t>
  </si>
  <si>
    <t xml:space="preserve">Tool/Technology</t>
  </si>
  <si>
    <t xml:space="preserve">Purpose</t>
  </si>
  <si>
    <t xml:space="preserve">Skill Level</t>
  </si>
  <si>
    <t xml:space="preserve">Output</t>
  </si>
  <si>
    <t xml:space="preserve">Data Analysis</t>
  </si>
  <si>
    <t xml:space="preserve">Python / Pandas</t>
  </si>
  <si>
    <t xml:space="preserve">Data cleaning &amp; EDA</t>
  </si>
  <si>
    <t xml:space="preserve">Advanced</t>
  </si>
  <si>
    <t xml:space="preserve">DataFrames</t>
  </si>
  <si>
    <t xml:space="preserve">Google Colab env</t>
  </si>
  <si>
    <t xml:space="preserve">Visualization</t>
  </si>
  <si>
    <t xml:space="preserve">Power BI</t>
  </si>
  <si>
    <t xml:space="preserve">Interactive dashboards</t>
  </si>
  <si>
    <t xml:space="preserve">Reports</t>
  </si>
  <si>
    <t xml:space="preserve">DAX measures used</t>
  </si>
  <si>
    <t xml:space="preserve">Dashboarding</t>
  </si>
  <si>
    <t xml:space="preserve">Power BI Reports</t>
  </si>
  <si>
    <t xml:space="preserve">KPI cards &amp; drill-downs</t>
  </si>
  <si>
    <t xml:space="preserve">Dashboard</t>
  </si>
  <si>
    <t xml:space="preserve">Slicers &amp; filters</t>
  </si>
  <si>
    <t xml:space="preserve">Data Cleaning</t>
  </si>
  <si>
    <t xml:space="preserve">Power Query</t>
  </si>
  <si>
    <t xml:space="preserve">ETL &amp; transformation</t>
  </si>
  <si>
    <t xml:space="preserve">Intermediate</t>
  </si>
  <si>
    <t xml:space="preserve">Clean data</t>
  </si>
  <si>
    <t xml:space="preserve">M language</t>
  </si>
  <si>
    <t xml:space="preserve">ML Concepts</t>
  </si>
  <si>
    <t xml:space="preserve">Churn Risk Analysis</t>
  </si>
  <si>
    <t xml:space="preserve">Segmentation &amp; risk scoring</t>
  </si>
  <si>
    <t xml:space="preserve">Risk tiers</t>
  </si>
  <si>
    <t xml:space="preserve">Manual logic</t>
  </si>
  <si>
    <t xml:space="preserve">BI</t>
  </si>
  <si>
    <t xml:space="preserve">KPI Tracking</t>
  </si>
  <si>
    <t xml:space="preserve">Metric definition &amp; tracking</t>
  </si>
  <si>
    <t xml:space="preserve">KPIs</t>
  </si>
  <si>
    <t xml:space="preserve">Business-aligned</t>
  </si>
  <si>
    <t xml:space="preserve">Dev Environment</t>
  </si>
  <si>
    <t xml:space="preserve">Google Colab</t>
  </si>
  <si>
    <t xml:space="preserve">Python notebook environment</t>
  </si>
  <si>
    <t xml:space="preserve">Notebooks</t>
  </si>
  <si>
    <t xml:space="preserve">Cloud-based</t>
  </si>
  <si>
    <t xml:space="preserve">SQL Thinking</t>
  </si>
  <si>
    <t xml:space="preserve">Pandas + Power Query</t>
  </si>
  <si>
    <t xml:space="preserve">Filtering &amp; aggregation</t>
  </si>
  <si>
    <t xml:space="preserve">Queries</t>
  </si>
  <si>
    <t xml:space="preserve">SQL-style ops</t>
  </si>
  <si>
    <t xml:space="preserve">Reporting</t>
  </si>
  <si>
    <t xml:space="preserve">Excel / OpenPyXL</t>
  </si>
  <si>
    <t xml:space="preserve">Structured report generation</t>
  </si>
  <si>
    <t xml:space="preserve">This file</t>
  </si>
  <si>
    <t xml:space="preserve">Professional BI</t>
  </si>
  <si>
    <t xml:space="preserve">  ▌ Skills Demonstrated</t>
  </si>
  <si>
    <t xml:space="preserve">Skill Area</t>
  </si>
  <si>
    <t xml:space="preserve">Sub-Skills</t>
  </si>
  <si>
    <t xml:space="preserve">Evidence</t>
  </si>
  <si>
    <t xml:space="preserve">Proficiency</t>
  </si>
  <si>
    <t xml:space="preserve">Industry Relevance</t>
  </si>
  <si>
    <t xml:space="preserve">Covered</t>
  </si>
  <si>
    <t xml:space="preserve">EDA, Aggregation, Cohort</t>
  </si>
  <si>
    <t xml:space="preserve">Tenure &amp; segment analysis</t>
  </si>
  <si>
    <t xml:space="preserve">Core DS Skill</t>
  </si>
  <si>
    <t xml:space="preserve">✅</t>
  </si>
  <si>
    <t xml:space="preserve">Machine Learning</t>
  </si>
  <si>
    <t xml:space="preserve">Risk Scoring, Segmentation</t>
  </si>
  <si>
    <t xml:space="preserve">Customer risk tiers</t>
  </si>
  <si>
    <t xml:space="preserve">ML Engineering</t>
  </si>
  <si>
    <t xml:space="preserve">Product Analytics</t>
  </si>
  <si>
    <t xml:space="preserve">KPIs, Funnel, Retention</t>
  </si>
  <si>
    <t xml:space="preserve">Churn funnel analysis</t>
  </si>
  <si>
    <t xml:space="preserve">PM / Analytics</t>
  </si>
  <si>
    <t xml:space="preserve">Business Intel.</t>
  </si>
  <si>
    <t xml:space="preserve">Dashboard, DAX, Power BI</t>
  </si>
  <si>
    <t xml:space="preserve">Interactive BI reports</t>
  </si>
  <si>
    <t xml:space="preserve">BI Engineering</t>
  </si>
  <si>
    <t xml:space="preserve">Slicer, Filter, Drill-down</t>
  </si>
  <si>
    <t xml:space="preserve">Power BI interactive views</t>
  </si>
  <si>
    <t xml:space="preserve">Data Viz</t>
  </si>
  <si>
    <t xml:space="preserve">Groupby, Filter, Aggregation</t>
  </si>
  <si>
    <t xml:space="preserve">Pandas-based SQL-like ops</t>
  </si>
  <si>
    <t xml:space="preserve">Data Engineering</t>
  </si>
  <si>
    <t xml:space="preserve">Data Visualization</t>
  </si>
  <si>
    <t xml:space="preserve">Charts, KPI Cards, Tables</t>
  </si>
  <si>
    <t xml:space="preserve">Revenue &amp; churn visualized</t>
  </si>
  <si>
    <t xml:space="preserve">Storytelling</t>
  </si>
  <si>
    <t xml:space="preserve">Biz Problem Solving</t>
  </si>
  <si>
    <t xml:space="preserve">Insight to Action Translation</t>
  </si>
  <si>
    <t xml:space="preserve">Retention roadmap generated</t>
  </si>
  <si>
    <t xml:space="preserve">Consulting</t>
  </si>
  <si>
    <t xml:space="preserve">Communication</t>
  </si>
  <si>
    <t xml:space="preserve">Report Writing, Storytelling</t>
  </si>
  <si>
    <t xml:space="preserve">This structured BI report</t>
  </si>
  <si>
    <t xml:space="preserve">Stakeholder Mgmt</t>
  </si>
  <si>
    <t xml:space="preserve">  ▌ Future Development Roadmap</t>
  </si>
  <si>
    <t xml:space="preserve">Phase</t>
  </si>
  <si>
    <t xml:space="preserve">Enhancement</t>
  </si>
  <si>
    <t xml:space="preserve">Technology</t>
  </si>
  <si>
    <t xml:space="preserve">Business Value</t>
  </si>
  <si>
    <t xml:space="preserve">Phase 1</t>
  </si>
  <si>
    <t xml:space="preserve">Real-Time Data Integration</t>
  </si>
  <si>
    <t xml:space="preserve">Apache Kafka / APIs</t>
  </si>
  <si>
    <t xml:space="preserve">Q2 2025</t>
  </si>
  <si>
    <t xml:space="preserve">Live churn alerts</t>
  </si>
  <si>
    <t xml:space="preserve">🔴 Critical</t>
  </si>
  <si>
    <t xml:space="preserve">Phase 2</t>
  </si>
  <si>
    <t xml:space="preserve">ML Prediction Model</t>
  </si>
  <si>
    <t xml:space="preserve">Scikit-learn / XGBoost</t>
  </si>
  <si>
    <t xml:space="preserve">Q3 2025</t>
  </si>
  <si>
    <t xml:space="preserve">Predict churn 30d ahead</t>
  </si>
  <si>
    <t xml:space="preserve">🟠 High</t>
  </si>
  <si>
    <t xml:space="preserve">Phase 3</t>
  </si>
  <si>
    <t xml:space="preserve">Auto Retention Recommender</t>
  </si>
  <si>
    <t xml:space="preserve">NLP + Rule Engine</t>
  </si>
  <si>
    <t xml:space="preserve">Auto customer outreach</t>
  </si>
  <si>
    <t xml:space="preserve">Phase 4</t>
  </si>
  <si>
    <t xml:space="preserve">Cloud BI Deployment</t>
  </si>
  <si>
    <t xml:space="preserve">Azure / AWS QuickSight</t>
  </si>
  <si>
    <t xml:space="preserve">Q4 2025</t>
  </si>
  <si>
    <t xml:space="preserve">Org-wide BI access</t>
  </si>
  <si>
    <t xml:space="preserve">🟡 Medium</t>
  </si>
  <si>
    <t xml:space="preserve">Phase 5</t>
  </si>
  <si>
    <t xml:space="preserve">A/B Testing Framework</t>
  </si>
  <si>
    <t xml:space="preserve">Python / Statsmodels</t>
  </si>
  <si>
    <t xml:space="preserve">Optimise retention offers</t>
  </si>
  <si>
    <t xml:space="preserve">Phase 6</t>
  </si>
  <si>
    <t xml:space="preserve">NLP Feedback Analysis</t>
  </si>
  <si>
    <t xml:space="preserve">Transformers / BERT</t>
  </si>
  <si>
    <t xml:space="preserve">Q1 2026</t>
  </si>
  <si>
    <t xml:space="preserve">Voice of Customer intel</t>
  </si>
  <si>
    <t xml:space="preserve">🟢 Low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</si>
</sst>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"/>
    <numFmt numFmtId="168" formatCode="\$#,##0.0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00B4D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B0C4DE"/>
      <name val="Arial"/>
      <family val="0"/>
      <charset val="1"/>
    </font>
    <font>
      <sz val="9"/>
      <color rgb="FFB0C4DE"/>
      <name val="Arial"/>
      <family val="0"/>
      <charset val="1"/>
    </font>
    <font>
      <b val="true"/>
      <sz val="18"/>
      <color rgb="FF00B4D8"/>
      <name val="Arial"/>
      <family val="0"/>
      <charset val="1"/>
    </font>
    <font>
      <b val="true"/>
      <sz val="18"/>
      <color rgb="FFE63946"/>
      <name val="Arial"/>
      <family val="0"/>
      <charset val="1"/>
    </font>
    <font>
      <b val="true"/>
      <sz val="18"/>
      <color rgb="FFF77F00"/>
      <name val="Arial"/>
      <family val="0"/>
      <charset val="1"/>
    </font>
    <font>
      <b val="true"/>
      <sz val="18"/>
      <color rgb="FF06D6A0"/>
      <name val="Arial"/>
      <family val="0"/>
      <charset val="1"/>
    </font>
    <font>
      <b val="true"/>
      <sz val="13"/>
      <color rgb="FF00B4D8"/>
      <name val="Arial"/>
      <family val="0"/>
      <charset val="1"/>
    </font>
    <font>
      <sz val="10"/>
      <color rgb="FFB0C4DE"/>
      <name val="Arial"/>
      <family val="0"/>
      <charset val="1"/>
    </font>
    <font>
      <b val="true"/>
      <sz val="11"/>
      <color rgb="FF00B4D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B0C4D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00B4D8"/>
      <name val="Arial"/>
      <family val="0"/>
      <charset val="1"/>
    </font>
    <font>
      <b val="true"/>
      <sz val="16"/>
      <color rgb="FFE63946"/>
      <name val="Arial"/>
      <family val="0"/>
      <charset val="1"/>
    </font>
    <font>
      <b val="true"/>
      <sz val="16"/>
      <color rgb="FF06D6A0"/>
      <name val="Arial"/>
      <family val="0"/>
      <charset val="1"/>
    </font>
    <font>
      <b val="true"/>
      <sz val="16"/>
      <color rgb="FFF77F00"/>
      <name val="Arial"/>
      <family val="0"/>
      <charset val="1"/>
    </font>
    <font>
      <sz val="8"/>
      <color rgb="FFB0C4D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F77F00"/>
      <name val="Arial"/>
      <family val="0"/>
      <charset val="1"/>
    </font>
    <font>
      <b val="true"/>
      <sz val="10"/>
      <color rgb="FFE63946"/>
      <name val="Arial"/>
      <family val="0"/>
      <charset val="1"/>
    </font>
    <font>
      <b val="true"/>
      <sz val="10"/>
      <color rgb="FFFFD166"/>
      <name val="Arial"/>
      <family val="0"/>
      <charset val="1"/>
    </font>
    <font>
      <b val="true"/>
      <sz val="10"/>
      <color rgb="FF06D6A0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2"/>
      <color rgb="FF00B4D8"/>
      <name val="Arial"/>
      <family val="0"/>
      <charset val="1"/>
    </font>
    <font>
      <b val="true"/>
      <sz val="12"/>
      <color rgb="FFE63946"/>
      <name val="Arial"/>
      <family val="0"/>
      <charset val="1"/>
    </font>
    <font>
      <b val="true"/>
      <sz val="12"/>
      <color rgb="FFF77F00"/>
      <name val="Arial"/>
      <family val="0"/>
      <charset val="1"/>
    </font>
    <font>
      <b val="true"/>
      <sz val="12"/>
      <color rgb="FF06D6A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0B4D8"/>
        <bgColor rgb="FF06D6A0"/>
      </patternFill>
    </fill>
    <fill>
      <patternFill patternType="solid">
        <fgColor rgb="FFE8F4FD"/>
        <bgColor rgb="FFEBF5FB"/>
      </patternFill>
    </fill>
    <fill>
      <patternFill patternType="solid">
        <fgColor rgb="FFEBF5FB"/>
        <bgColor rgb="FFE8F4FD"/>
      </patternFill>
    </fill>
    <fill>
      <patternFill patternType="solid">
        <fgColor rgb="FFFFFFFF"/>
        <bgColor rgb="FFEBF5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00B4D8"/>
      </left>
      <right/>
      <top style="medium">
        <color rgb="FF00B4D8"/>
      </top>
      <bottom style="medium">
        <color rgb="FF00B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E63946"/>
      <rgbColor rgb="FFFFFFCC"/>
      <rgbColor rgb="FFE8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EBF5FB"/>
      <rgbColor rgb="FFCCFFCC"/>
      <rgbColor rgb="FFFFFF99"/>
      <rgbColor rgb="FFB0C4DE"/>
      <rgbColor rgb="FFFF99CC"/>
      <rgbColor rgb="FFCC99FF"/>
      <rgbColor rgb="FFFFD166"/>
      <rgbColor rgb="FF3366FF"/>
      <rgbColor rgb="FF06D6A0"/>
      <rgbColor rgb="FF99CC00"/>
      <rgbColor rgb="FFFFCC00"/>
      <rgbColor rgb="FFFF9900"/>
      <rgbColor rgb="FFF77F00"/>
      <rgbColor rgb="FF666699"/>
      <rgbColor rgb="FF969696"/>
      <rgbColor rgb="FF0F3460"/>
      <rgbColor rgb="FF339966"/>
      <rgbColor rgb="FF003300"/>
      <rgbColor rgb="FF1A1A2E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6" min="3" style="1" width="22"/>
    <col collapsed="false" customWidth="true" hidden="false" outlineLevel="0" max="7" min="7" style="1" width="4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39.75" hidden="false" customHeight="true" outlineLevel="0" collapsed="false">
      <c r="A2" s="3" t="s">
        <v>0</v>
      </c>
      <c r="B2" s="3"/>
      <c r="C2" s="3"/>
      <c r="D2" s="3"/>
      <c r="E2" s="3"/>
      <c r="F2" s="3"/>
      <c r="G2" s="3"/>
    </row>
    <row r="3" customFormat="false" ht="39.75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18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18" hidden="false" customHeight="true" outlineLevel="0" collapsed="false">
      <c r="A5" s="3"/>
      <c r="B5" s="3"/>
      <c r="C5" s="3"/>
      <c r="D5" s="3"/>
      <c r="E5" s="3"/>
      <c r="F5" s="3"/>
      <c r="G5" s="3"/>
    </row>
    <row r="6" customFormat="false" ht="18" hidden="false" customHeight="true" outlineLevel="0" collapsed="false">
      <c r="A6" s="2"/>
      <c r="B6" s="2"/>
      <c r="C6" s="2"/>
      <c r="D6" s="2"/>
      <c r="E6" s="2"/>
      <c r="F6" s="2"/>
      <c r="G6" s="2"/>
    </row>
    <row r="7" customFormat="false" ht="18" hidden="false" customHeight="true" outlineLevel="0" collapsed="false">
      <c r="A7" s="2"/>
      <c r="B7" s="4" t="s">
        <v>1</v>
      </c>
      <c r="C7" s="4"/>
      <c r="D7" s="4"/>
      <c r="E7" s="4"/>
      <c r="F7" s="4"/>
      <c r="G7" s="2"/>
    </row>
    <row r="8" customFormat="false" ht="18" hidden="false" customHeight="true" outlineLevel="0" collapsed="false">
      <c r="A8" s="2"/>
      <c r="B8" s="4"/>
      <c r="C8" s="4"/>
      <c r="D8" s="4"/>
      <c r="E8" s="4"/>
      <c r="F8" s="4"/>
      <c r="G8" s="2"/>
    </row>
    <row r="9" customFormat="false" ht="18" hidden="false" customHeight="true" outlineLevel="0" collapsed="false">
      <c r="A9" s="2"/>
      <c r="B9" s="5" t="s">
        <v>2</v>
      </c>
      <c r="C9" s="5"/>
      <c r="D9" s="5"/>
      <c r="E9" s="5"/>
      <c r="F9" s="5"/>
      <c r="G9" s="2"/>
    </row>
    <row r="10" customFormat="false" ht="18" hidden="false" customHeight="true" outlineLevel="0" collapsed="false">
      <c r="A10" s="2"/>
      <c r="B10" s="5"/>
      <c r="C10" s="5"/>
      <c r="D10" s="5"/>
      <c r="E10" s="5"/>
      <c r="F10" s="5"/>
      <c r="G10" s="2"/>
    </row>
    <row r="11" customFormat="false" ht="18" hidden="false" customHeight="true" outlineLevel="0" collapsed="false">
      <c r="A11" s="2"/>
      <c r="B11" s="2"/>
      <c r="C11" s="2"/>
      <c r="D11" s="2"/>
      <c r="E11" s="2"/>
      <c r="F11" s="2"/>
      <c r="G11" s="2"/>
    </row>
    <row r="12" customFormat="false" ht="25.5" hidden="false" customHeight="true" outlineLevel="0" collapsed="false">
      <c r="A12" s="2"/>
      <c r="B12" s="6" t="s">
        <v>3</v>
      </c>
      <c r="C12" s="6" t="s">
        <v>4</v>
      </c>
      <c r="D12" s="6" t="s">
        <v>5</v>
      </c>
      <c r="E12" s="6" t="s">
        <v>6</v>
      </c>
      <c r="F12" s="2"/>
      <c r="G12" s="2"/>
    </row>
    <row r="13" customFormat="false" ht="25.5" hidden="false" customHeight="true" outlineLevel="0" collapsed="false">
      <c r="A13" s="2"/>
      <c r="B13" s="7" t="s">
        <v>7</v>
      </c>
      <c r="C13" s="8" t="s">
        <v>8</v>
      </c>
      <c r="D13" s="9" t="s">
        <v>9</v>
      </c>
      <c r="E13" s="10" t="s">
        <v>10</v>
      </c>
      <c r="F13" s="2"/>
      <c r="G13" s="2"/>
    </row>
    <row r="14" customFormat="false" ht="25.5" hidden="false" customHeight="true" outlineLevel="0" collapsed="false">
      <c r="A14" s="2"/>
      <c r="B14" s="6" t="s">
        <v>11</v>
      </c>
      <c r="C14" s="6" t="s">
        <v>11</v>
      </c>
      <c r="D14" s="6" t="s">
        <v>11</v>
      </c>
      <c r="E14" s="6" t="s">
        <v>11</v>
      </c>
      <c r="F14" s="2"/>
      <c r="G14" s="2"/>
    </row>
    <row r="15" customFormat="false" ht="18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3" hidden="false" customHeight="true" outlineLevel="0" collapsed="false">
      <c r="A16" s="2"/>
      <c r="B16" s="11"/>
      <c r="C16" s="11"/>
      <c r="D16" s="11"/>
      <c r="E16" s="11"/>
      <c r="F16" s="11"/>
      <c r="G16" s="2"/>
    </row>
    <row r="17" customFormat="false" ht="18" hidden="false" customHeight="true" outlineLevel="0" collapsed="false">
      <c r="A17" s="2"/>
      <c r="B17" s="2"/>
      <c r="C17" s="2"/>
      <c r="D17" s="2"/>
      <c r="E17" s="2"/>
      <c r="F17" s="2"/>
      <c r="G17" s="2"/>
    </row>
    <row r="18" customFormat="false" ht="21.75" hidden="false" customHeight="true" outlineLevel="0" collapsed="false">
      <c r="A18" s="2"/>
      <c r="B18" s="12" t="s">
        <v>12</v>
      </c>
      <c r="C18" s="12"/>
      <c r="D18" s="12"/>
      <c r="E18" s="12"/>
      <c r="F18" s="12"/>
      <c r="G18" s="2"/>
    </row>
    <row r="19" customFormat="false" ht="16.5" hidden="false" customHeight="true" outlineLevel="0" collapsed="false">
      <c r="A19" s="2"/>
      <c r="B19" s="13" t="s">
        <v>13</v>
      </c>
      <c r="C19" s="13"/>
      <c r="D19" s="13"/>
      <c r="E19" s="13"/>
      <c r="F19" s="13"/>
      <c r="G19" s="2"/>
    </row>
    <row r="20" customFormat="false" ht="16.5" hidden="false" customHeight="true" outlineLevel="0" collapsed="false">
      <c r="A20" s="2"/>
      <c r="B20" s="13" t="s">
        <v>14</v>
      </c>
      <c r="C20" s="13"/>
      <c r="D20" s="13"/>
      <c r="E20" s="13"/>
      <c r="F20" s="13"/>
      <c r="G20" s="2"/>
    </row>
    <row r="21" customFormat="false" ht="16.5" hidden="false" customHeight="true" outlineLevel="0" collapsed="false">
      <c r="A21" s="2"/>
      <c r="B21" s="13" t="s">
        <v>15</v>
      </c>
      <c r="C21" s="13"/>
      <c r="D21" s="13"/>
      <c r="E21" s="13"/>
      <c r="F21" s="13"/>
      <c r="G21" s="2"/>
    </row>
    <row r="22" customFormat="false" ht="18" hidden="false" customHeight="true" outlineLevel="0" collapsed="false">
      <c r="A22" s="2"/>
      <c r="B22" s="2"/>
      <c r="C22" s="2"/>
      <c r="D22" s="2"/>
      <c r="E22" s="2"/>
      <c r="F22" s="2"/>
      <c r="G22" s="2"/>
    </row>
    <row r="23" customFormat="false" ht="21.75" hidden="false" customHeight="true" outlineLevel="0" collapsed="false">
      <c r="A23" s="2"/>
      <c r="B23" s="12" t="s">
        <v>16</v>
      </c>
      <c r="C23" s="12"/>
      <c r="D23" s="12"/>
      <c r="E23" s="12"/>
      <c r="F23" s="12"/>
      <c r="G23" s="2"/>
    </row>
    <row r="24" customFormat="false" ht="18" hidden="false" customHeight="true" outlineLevel="0" collapsed="false">
      <c r="A24" s="2"/>
      <c r="B24" s="2"/>
      <c r="C24" s="2"/>
      <c r="D24" s="2"/>
      <c r="E24" s="2"/>
      <c r="F24" s="2"/>
      <c r="G24" s="2"/>
    </row>
    <row r="25" customFormat="false" ht="19.5" hidden="false" customHeight="true" outlineLevel="0" collapsed="false">
      <c r="A25" s="2"/>
      <c r="B25" s="14" t="s">
        <v>17</v>
      </c>
      <c r="C25" s="15" t="s">
        <v>18</v>
      </c>
      <c r="D25" s="16" t="s">
        <v>19</v>
      </c>
      <c r="E25" s="16"/>
      <c r="F25" s="16"/>
      <c r="G25" s="2"/>
    </row>
    <row r="26" customFormat="false" ht="18" hidden="false" customHeight="true" outlineLevel="0" collapsed="false">
      <c r="A26" s="2"/>
      <c r="B26" s="2"/>
      <c r="C26" s="2"/>
      <c r="D26" s="2"/>
      <c r="E26" s="2"/>
      <c r="F26" s="2"/>
      <c r="G26" s="2"/>
    </row>
    <row r="27" customFormat="false" ht="19.5" hidden="false" customHeight="true" outlineLevel="0" collapsed="false">
      <c r="A27" s="2"/>
      <c r="B27" s="14" t="s">
        <v>20</v>
      </c>
      <c r="C27" s="15" t="s">
        <v>21</v>
      </c>
      <c r="D27" s="16" t="s">
        <v>22</v>
      </c>
      <c r="E27" s="16"/>
      <c r="F27" s="16"/>
      <c r="G27" s="2"/>
    </row>
    <row r="28" customFormat="false" ht="18" hidden="false" customHeight="true" outlineLevel="0" collapsed="false">
      <c r="A28" s="2"/>
      <c r="B28" s="2"/>
      <c r="C28" s="2"/>
      <c r="D28" s="2"/>
      <c r="E28" s="2"/>
      <c r="F28" s="2"/>
      <c r="G28" s="2"/>
    </row>
    <row r="29" customFormat="false" ht="19.5" hidden="false" customHeight="true" outlineLevel="0" collapsed="false">
      <c r="A29" s="2"/>
      <c r="B29" s="14" t="s">
        <v>23</v>
      </c>
      <c r="C29" s="15" t="s">
        <v>24</v>
      </c>
      <c r="D29" s="16" t="s">
        <v>25</v>
      </c>
      <c r="E29" s="16"/>
      <c r="F29" s="16"/>
      <c r="G29" s="2"/>
    </row>
    <row r="30" customFormat="false" ht="18" hidden="false" customHeight="true" outlineLevel="0" collapsed="false">
      <c r="A30" s="2"/>
      <c r="B30" s="2"/>
      <c r="C30" s="2"/>
      <c r="D30" s="2"/>
      <c r="E30" s="2"/>
      <c r="F30" s="2"/>
      <c r="G30" s="2"/>
    </row>
    <row r="31" customFormat="false" ht="19.5" hidden="false" customHeight="true" outlineLevel="0" collapsed="false">
      <c r="A31" s="2"/>
      <c r="B31" s="14" t="s">
        <v>26</v>
      </c>
      <c r="C31" s="15" t="s">
        <v>27</v>
      </c>
      <c r="D31" s="16" t="s">
        <v>28</v>
      </c>
      <c r="E31" s="16"/>
      <c r="F31" s="16"/>
      <c r="G31" s="2"/>
    </row>
    <row r="32" customFormat="false" ht="18" hidden="false" customHeight="true" outlineLevel="0" collapsed="false">
      <c r="A32" s="2"/>
      <c r="B32" s="2"/>
      <c r="C32" s="2"/>
      <c r="D32" s="2"/>
      <c r="E32" s="2"/>
      <c r="F32" s="2"/>
      <c r="G32" s="2"/>
    </row>
    <row r="33" customFormat="false" ht="19.5" hidden="false" customHeight="true" outlineLevel="0" collapsed="false">
      <c r="A33" s="2"/>
      <c r="B33" s="14" t="s">
        <v>29</v>
      </c>
      <c r="C33" s="15" t="s">
        <v>30</v>
      </c>
      <c r="D33" s="16" t="s">
        <v>31</v>
      </c>
      <c r="E33" s="16"/>
      <c r="F33" s="16"/>
      <c r="G33" s="2"/>
    </row>
    <row r="34" customFormat="false" ht="18" hidden="false" customHeight="true" outlineLevel="0" collapsed="false">
      <c r="A34" s="2"/>
      <c r="B34" s="2"/>
      <c r="C34" s="2"/>
      <c r="D34" s="2"/>
      <c r="E34" s="2"/>
      <c r="F34" s="2"/>
      <c r="G34" s="2"/>
    </row>
    <row r="35" customFormat="false" ht="19.5" hidden="false" customHeight="true" outlineLevel="0" collapsed="false">
      <c r="A35" s="2"/>
      <c r="B35" s="14" t="s">
        <v>32</v>
      </c>
      <c r="C35" s="15" t="s">
        <v>33</v>
      </c>
      <c r="D35" s="16" t="s">
        <v>34</v>
      </c>
      <c r="E35" s="16"/>
      <c r="F35" s="16"/>
      <c r="G35" s="2"/>
    </row>
    <row r="36" customFormat="false" ht="18" hidden="false" customHeight="true" outlineLevel="0" collapsed="false">
      <c r="A36" s="2"/>
      <c r="B36" s="2"/>
      <c r="C36" s="2"/>
      <c r="D36" s="2"/>
      <c r="E36" s="2"/>
      <c r="F36" s="2"/>
      <c r="G36" s="2"/>
    </row>
    <row r="37" customFormat="false" ht="18" hidden="false" customHeight="true" outlineLevel="0" collapsed="false">
      <c r="A37" s="2"/>
      <c r="B37" s="2"/>
      <c r="C37" s="2"/>
      <c r="D37" s="2"/>
      <c r="E37" s="2"/>
      <c r="F37" s="2"/>
      <c r="G37" s="2"/>
    </row>
    <row r="38" customFormat="false" ht="18" hidden="false" customHeight="true" outlineLevel="0" collapsed="false">
      <c r="A38" s="2"/>
      <c r="B38" s="2"/>
      <c r="C38" s="2"/>
      <c r="D38" s="2"/>
      <c r="E38" s="2"/>
      <c r="F38" s="2"/>
      <c r="G38" s="2"/>
    </row>
    <row r="39" customFormat="false" ht="18" hidden="false" customHeight="true" outlineLevel="0" collapsed="false">
      <c r="A39" s="2"/>
      <c r="B39" s="2"/>
      <c r="C39" s="2"/>
      <c r="D39" s="2"/>
      <c r="E39" s="2"/>
      <c r="F39" s="2"/>
      <c r="G39" s="2"/>
    </row>
    <row r="40" customFormat="false" ht="18" hidden="false" customHeight="true" outlineLevel="0" collapsed="false">
      <c r="A40" s="2"/>
      <c r="B40" s="2"/>
      <c r="C40" s="2"/>
      <c r="D40" s="2"/>
      <c r="E40" s="2"/>
      <c r="F40" s="2"/>
      <c r="G40" s="2"/>
    </row>
    <row r="41" customFormat="false" ht="18" hidden="false" customHeight="true" outlineLevel="0" collapsed="false">
      <c r="A41" s="2"/>
      <c r="B41" s="2"/>
      <c r="C41" s="2"/>
      <c r="D41" s="2"/>
      <c r="E41" s="2"/>
      <c r="F41" s="2"/>
      <c r="G41" s="2"/>
    </row>
    <row r="42" customFormat="false" ht="18" hidden="false" customHeight="true" outlineLevel="0" collapsed="false">
      <c r="A42" s="2"/>
      <c r="B42" s="2"/>
      <c r="C42" s="2"/>
      <c r="D42" s="2"/>
      <c r="E42" s="2"/>
      <c r="F42" s="2"/>
      <c r="G42" s="2"/>
    </row>
    <row r="43" customFormat="false" ht="18" hidden="false" customHeight="true" outlineLevel="0" collapsed="false">
      <c r="A43" s="2"/>
      <c r="B43" s="17" t="s">
        <v>35</v>
      </c>
      <c r="C43" s="17"/>
      <c r="D43" s="17"/>
      <c r="E43" s="17"/>
      <c r="F43" s="17"/>
      <c r="G43" s="2"/>
    </row>
    <row r="44" customFormat="false" ht="18" hidden="false" customHeight="true" outlineLevel="0" collapsed="false">
      <c r="A44" s="2"/>
      <c r="B44" s="2"/>
      <c r="C44" s="2"/>
      <c r="D44" s="2"/>
      <c r="E44" s="2"/>
      <c r="F44" s="2"/>
      <c r="G44" s="2"/>
    </row>
    <row r="46" customFormat="false" ht="15.75" hidden="false" customHeight="true" outlineLevel="0" collapsed="false">
      <c r="A46" s="18" t="s">
        <v>36</v>
      </c>
      <c r="B46" s="18"/>
      <c r="C46" s="18"/>
      <c r="D46" s="18"/>
      <c r="E46" s="18"/>
      <c r="F46" s="18"/>
      <c r="G46" s="18"/>
    </row>
  </sheetData>
  <mergeCells count="16">
    <mergeCell ref="A2:G5"/>
    <mergeCell ref="B7:F8"/>
    <mergeCell ref="B9:F10"/>
    <mergeCell ref="B18:F18"/>
    <mergeCell ref="B19:F19"/>
    <mergeCell ref="B20:F20"/>
    <mergeCell ref="B21:F21"/>
    <mergeCell ref="B23:F23"/>
    <mergeCell ref="D25:F25"/>
    <mergeCell ref="D27:F27"/>
    <mergeCell ref="D29:F29"/>
    <mergeCell ref="D31:F31"/>
    <mergeCell ref="D33:F33"/>
    <mergeCell ref="D35:F35"/>
    <mergeCell ref="B43:F43"/>
    <mergeCell ref="A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8" min="3" style="1" width="16"/>
    <col collapsed="false" customWidth="true" hidden="false" outlineLevel="0" max="9" min="9" style="1" width="2"/>
  </cols>
  <sheetData>
    <row r="1" customFormat="false" ht="7.5" hidden="false" customHeight="true" outlineLevel="0" collapsed="false">
      <c r="A1" s="19"/>
      <c r="B1" s="19"/>
      <c r="C1" s="19"/>
      <c r="D1" s="19"/>
      <c r="E1" s="19"/>
      <c r="F1" s="19"/>
      <c r="G1" s="19"/>
      <c r="H1" s="19"/>
      <c r="I1" s="19"/>
    </row>
    <row r="2" customFormat="false" ht="30" hidden="false" customHeight="true" outlineLevel="0" collapsed="false">
      <c r="A2" s="20" t="s">
        <v>37</v>
      </c>
      <c r="B2" s="20"/>
      <c r="C2" s="20"/>
      <c r="D2" s="20"/>
      <c r="E2" s="20"/>
      <c r="F2" s="20"/>
      <c r="G2" s="20"/>
      <c r="H2" s="20"/>
      <c r="I2" s="20"/>
    </row>
    <row r="3" customFormat="false" ht="7.5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</row>
    <row r="5" customFormat="false" ht="24" hidden="false" customHeight="true" outlineLevel="0" collapsed="false">
      <c r="B5" s="21" t="s">
        <v>38</v>
      </c>
      <c r="C5" s="21"/>
      <c r="D5" s="21"/>
      <c r="E5" s="21"/>
      <c r="F5" s="21"/>
      <c r="G5" s="21"/>
      <c r="H5" s="21"/>
    </row>
    <row r="6" customFormat="false" ht="15" hidden="false" customHeight="true" outlineLevel="0" collapsed="false">
      <c r="B6" s="22" t="s">
        <v>3</v>
      </c>
      <c r="C6" s="22" t="s">
        <v>39</v>
      </c>
      <c r="D6" s="22" t="s">
        <v>40</v>
      </c>
      <c r="E6" s="22" t="s">
        <v>4</v>
      </c>
      <c r="F6" s="22" t="s">
        <v>5</v>
      </c>
      <c r="G6" s="22" t="s">
        <v>41</v>
      </c>
    </row>
    <row r="7" customFormat="false" ht="36" hidden="false" customHeight="true" outlineLevel="0" collapsed="false">
      <c r="B7" s="23" t="n">
        <v>7043</v>
      </c>
      <c r="C7" s="24" t="n">
        <v>1869</v>
      </c>
      <c r="D7" s="25" t="n">
        <v>5174</v>
      </c>
      <c r="E7" s="26" t="n">
        <v>0.265</v>
      </c>
      <c r="F7" s="27" t="n">
        <v>2862927</v>
      </c>
      <c r="G7" s="28" t="n">
        <v>64.76</v>
      </c>
    </row>
    <row r="8" customFormat="false" ht="15.75" hidden="false" customHeight="true" outlineLevel="0" collapsed="false">
      <c r="B8" s="29" t="s">
        <v>42</v>
      </c>
      <c r="C8" s="29" t="s">
        <v>43</v>
      </c>
      <c r="D8" s="29" t="s">
        <v>44</v>
      </c>
      <c r="E8" s="29" t="s">
        <v>45</v>
      </c>
      <c r="F8" s="29" t="s">
        <v>46</v>
      </c>
      <c r="G8" s="29" t="s">
        <v>47</v>
      </c>
    </row>
    <row r="10" customFormat="false" ht="6" hidden="false" customHeight="true" outlineLevel="0" collapsed="false"/>
    <row r="11" customFormat="false" ht="24" hidden="false" customHeight="true" outlineLevel="0" collapsed="false">
      <c r="B11" s="21" t="s">
        <v>48</v>
      </c>
      <c r="C11" s="21"/>
      <c r="D11" s="21"/>
      <c r="E11" s="21"/>
      <c r="F11" s="21" t="s">
        <v>49</v>
      </c>
      <c r="G11" s="21"/>
      <c r="H11" s="21"/>
    </row>
    <row r="12" customFormat="false" ht="19.5" hidden="false" customHeight="true" outlineLevel="0" collapsed="false">
      <c r="B12" s="30" t="s">
        <v>50</v>
      </c>
      <c r="C12" s="30" t="s">
        <v>3</v>
      </c>
      <c r="D12" s="30" t="s">
        <v>39</v>
      </c>
      <c r="E12" s="30" t="s">
        <v>4</v>
      </c>
      <c r="F12" s="30" t="s">
        <v>51</v>
      </c>
      <c r="G12" s="30" t="s">
        <v>52</v>
      </c>
      <c r="H12" s="30" t="s">
        <v>4</v>
      </c>
    </row>
    <row r="13" customFormat="false" ht="18" hidden="false" customHeight="true" outlineLevel="0" collapsed="false">
      <c r="B13" s="31" t="s">
        <v>53</v>
      </c>
      <c r="C13" s="32" t="n">
        <v>3875</v>
      </c>
      <c r="D13" s="32" t="n">
        <v>1655</v>
      </c>
      <c r="E13" s="33" t="n">
        <f aca="false">D14/C14</f>
        <v>0.112695179904956</v>
      </c>
      <c r="F13" s="31" t="s">
        <v>54</v>
      </c>
      <c r="G13" s="32" t="n">
        <v>3096</v>
      </c>
      <c r="H13" s="34" t="s">
        <v>55</v>
      </c>
    </row>
    <row r="14" customFormat="false" ht="18" hidden="false" customHeight="true" outlineLevel="0" collapsed="false">
      <c r="B14" s="35" t="s">
        <v>56</v>
      </c>
      <c r="C14" s="36" t="n">
        <v>1473</v>
      </c>
      <c r="D14" s="36" t="n">
        <v>166</v>
      </c>
      <c r="E14" s="37" t="n">
        <f aca="false">D15/C15</f>
        <v>0.0283185840707965</v>
      </c>
      <c r="F14" s="35" t="s">
        <v>57</v>
      </c>
      <c r="G14" s="36" t="n">
        <v>2421</v>
      </c>
      <c r="H14" s="38" t="s">
        <v>58</v>
      </c>
    </row>
    <row r="15" customFormat="false" ht="18" hidden="false" customHeight="true" outlineLevel="0" collapsed="false">
      <c r="B15" s="31" t="s">
        <v>59</v>
      </c>
      <c r="C15" s="32" t="n">
        <v>1695</v>
      </c>
      <c r="D15" s="32" t="n">
        <v>48</v>
      </c>
      <c r="E15" s="33" t="n">
        <f aca="false">IFERROR(D15/C15,0)</f>
        <v>0.0283185840707965</v>
      </c>
      <c r="F15" s="31" t="s">
        <v>60</v>
      </c>
      <c r="G15" s="32" t="n">
        <v>1526</v>
      </c>
      <c r="H15" s="34" t="s">
        <v>61</v>
      </c>
    </row>
    <row r="17" customFormat="false" ht="6" hidden="false" customHeight="true" outlineLevel="0" collapsed="false"/>
    <row r="18" customFormat="false" ht="24" hidden="false" customHeight="true" outlineLevel="0" collapsed="false">
      <c r="B18" s="21" t="s">
        <v>62</v>
      </c>
      <c r="C18" s="21"/>
      <c r="D18" s="21"/>
      <c r="E18" s="21"/>
      <c r="F18" s="21"/>
      <c r="G18" s="21"/>
      <c r="H18" s="21"/>
    </row>
    <row r="19" customFormat="false" ht="15" hidden="false" customHeight="true" outlineLevel="0" collapsed="false">
      <c r="B19" s="30" t="s">
        <v>63</v>
      </c>
      <c r="C19" s="30" t="s">
        <v>64</v>
      </c>
      <c r="D19" s="30" t="s">
        <v>65</v>
      </c>
      <c r="E19" s="30" t="s">
        <v>66</v>
      </c>
      <c r="F19" s="30" t="s">
        <v>67</v>
      </c>
      <c r="G19" s="30" t="s">
        <v>68</v>
      </c>
      <c r="H19" s="30" t="s">
        <v>69</v>
      </c>
    </row>
    <row r="20" customFormat="false" ht="18" hidden="false" customHeight="true" outlineLevel="0" collapsed="false">
      <c r="B20" s="34" t="s">
        <v>4</v>
      </c>
      <c r="C20" s="34" t="s">
        <v>70</v>
      </c>
      <c r="D20" s="34" t="s">
        <v>71</v>
      </c>
      <c r="E20" s="34" t="s">
        <v>72</v>
      </c>
      <c r="F20" s="34" t="s">
        <v>73</v>
      </c>
      <c r="G20" s="34" t="s">
        <v>74</v>
      </c>
      <c r="H20" s="34" t="s">
        <v>75</v>
      </c>
    </row>
    <row r="21" customFormat="false" ht="18" hidden="false" customHeight="true" outlineLevel="0" collapsed="false">
      <c r="B21" s="38" t="s">
        <v>52</v>
      </c>
      <c r="C21" s="38" t="s">
        <v>76</v>
      </c>
      <c r="D21" s="38" t="s">
        <v>77</v>
      </c>
      <c r="E21" s="38" t="s">
        <v>78</v>
      </c>
      <c r="F21" s="38" t="s">
        <v>79</v>
      </c>
      <c r="G21" s="38" t="s">
        <v>80</v>
      </c>
      <c r="H21" s="38" t="s">
        <v>81</v>
      </c>
    </row>
    <row r="23" customFormat="false" ht="6" hidden="false" customHeight="true" outlineLevel="0" collapsed="false"/>
    <row r="24" customFormat="false" ht="24" hidden="false" customHeight="true" outlineLevel="0" collapsed="false">
      <c r="B24" s="21" t="s">
        <v>82</v>
      </c>
      <c r="C24" s="21"/>
      <c r="D24" s="21"/>
      <c r="E24" s="21"/>
      <c r="F24" s="21"/>
      <c r="G24" s="21"/>
      <c r="H24" s="21"/>
    </row>
    <row r="25" customFormat="false" ht="18" hidden="false" customHeight="true" outlineLevel="0" collapsed="false">
      <c r="B25" s="39" t="s">
        <v>83</v>
      </c>
      <c r="C25" s="39"/>
      <c r="D25" s="39"/>
      <c r="E25" s="39"/>
      <c r="F25" s="39"/>
      <c r="G25" s="39"/>
      <c r="H25" s="39"/>
    </row>
    <row r="26" customFormat="false" ht="18" hidden="false" customHeight="true" outlineLevel="0" collapsed="false">
      <c r="B26" s="40" t="s">
        <v>84</v>
      </c>
      <c r="C26" s="40"/>
      <c r="D26" s="40"/>
      <c r="E26" s="40"/>
      <c r="F26" s="40"/>
      <c r="G26" s="40"/>
      <c r="H26" s="40"/>
    </row>
    <row r="27" customFormat="false" ht="18" hidden="false" customHeight="true" outlineLevel="0" collapsed="false">
      <c r="B27" s="39" t="s">
        <v>85</v>
      </c>
      <c r="C27" s="39"/>
      <c r="D27" s="39"/>
      <c r="E27" s="39"/>
      <c r="F27" s="39"/>
      <c r="G27" s="39"/>
      <c r="H27" s="39"/>
    </row>
    <row r="28" customFormat="false" ht="18" hidden="false" customHeight="true" outlineLevel="0" collapsed="false">
      <c r="B28" s="40" t="s">
        <v>86</v>
      </c>
      <c r="C28" s="40"/>
      <c r="D28" s="40"/>
      <c r="E28" s="40"/>
      <c r="F28" s="40"/>
      <c r="G28" s="40"/>
      <c r="H28" s="40"/>
    </row>
    <row r="29" customFormat="false" ht="18" hidden="false" customHeight="true" outlineLevel="0" collapsed="false">
      <c r="B29" s="39" t="s">
        <v>87</v>
      </c>
      <c r="C29" s="39"/>
      <c r="D29" s="39"/>
      <c r="E29" s="39"/>
      <c r="F29" s="39"/>
      <c r="G29" s="39"/>
      <c r="H29" s="39"/>
    </row>
    <row r="31" customFormat="false" ht="15.75" hidden="false" customHeight="true" outlineLevel="0" collapsed="false">
      <c r="A31" s="18" t="s">
        <v>36</v>
      </c>
      <c r="B31" s="18"/>
      <c r="C31" s="18"/>
      <c r="D31" s="18"/>
      <c r="E31" s="18"/>
      <c r="F31" s="18"/>
      <c r="G31" s="18"/>
      <c r="H31" s="18"/>
      <c r="I31" s="18"/>
    </row>
  </sheetData>
  <mergeCells count="12">
    <mergeCell ref="A2:I3"/>
    <mergeCell ref="B5:H5"/>
    <mergeCell ref="B11:E11"/>
    <mergeCell ref="F11:H11"/>
    <mergeCell ref="B18:H18"/>
    <mergeCell ref="B24:H24"/>
    <mergeCell ref="B25:H25"/>
    <mergeCell ref="B26:H26"/>
    <mergeCell ref="B27:H27"/>
    <mergeCell ref="B28:H28"/>
    <mergeCell ref="B29:H29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9" min="3" style="1" width="14"/>
    <col collapsed="false" customWidth="true" hidden="false" outlineLevel="0" max="10" min="10" style="1" width="2"/>
  </cols>
  <sheetData>
    <row r="1" customFormat="false" ht="7.5" hidden="false" customHeight="true" outlineLevel="0" collapsed="false">
      <c r="A1" s="19"/>
      <c r="B1" s="19"/>
      <c r="C1" s="19"/>
      <c r="D1" s="19"/>
      <c r="E1" s="19"/>
      <c r="F1" s="19"/>
      <c r="G1" s="19"/>
      <c r="H1" s="19"/>
      <c r="I1" s="19"/>
      <c r="J1" s="19"/>
    </row>
    <row r="2" customFormat="false" ht="30" hidden="false" customHeight="true" outlineLevel="0" collapsed="false">
      <c r="A2" s="20" t="s">
        <v>88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7.5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</row>
    <row r="5" customFormat="false" ht="24" hidden="false" customHeight="true" outlineLevel="0" collapsed="false">
      <c r="B5" s="21" t="s">
        <v>89</v>
      </c>
      <c r="C5" s="21"/>
      <c r="D5" s="21"/>
      <c r="E5" s="21"/>
      <c r="F5" s="21"/>
      <c r="G5" s="21"/>
      <c r="H5" s="21"/>
      <c r="I5" s="21"/>
    </row>
    <row r="6" customFormat="false" ht="15" hidden="false" customHeight="true" outlineLevel="0" collapsed="false">
      <c r="B6" s="30" t="s">
        <v>90</v>
      </c>
      <c r="C6" s="30" t="s">
        <v>91</v>
      </c>
      <c r="D6" s="30" t="s">
        <v>92</v>
      </c>
      <c r="E6" s="30" t="s">
        <v>93</v>
      </c>
      <c r="F6" s="30" t="s">
        <v>4</v>
      </c>
      <c r="G6" s="30" t="s">
        <v>94</v>
      </c>
      <c r="H6" s="30" t="s">
        <v>95</v>
      </c>
      <c r="I6" s="30" t="s">
        <v>96</v>
      </c>
    </row>
    <row r="7" customFormat="false" ht="16.5" hidden="false" customHeight="true" outlineLevel="0" collapsed="false">
      <c r="B7" s="31" t="s">
        <v>97</v>
      </c>
      <c r="C7" s="31" t="s">
        <v>98</v>
      </c>
      <c r="D7" s="34" t="n">
        <v>1869</v>
      </c>
      <c r="E7" s="34" t="n">
        <v>5174</v>
      </c>
      <c r="F7" s="34" t="s">
        <v>8</v>
      </c>
      <c r="G7" s="34" t="s">
        <v>99</v>
      </c>
      <c r="H7" s="41" t="s">
        <v>100</v>
      </c>
      <c r="I7" s="34" t="s">
        <v>101</v>
      </c>
    </row>
    <row r="8" customFormat="false" ht="16.5" hidden="false" customHeight="true" outlineLevel="0" collapsed="false">
      <c r="B8" s="35" t="s">
        <v>102</v>
      </c>
      <c r="C8" s="35" t="s">
        <v>103</v>
      </c>
      <c r="D8" s="38" t="n">
        <v>939</v>
      </c>
      <c r="E8" s="38" t="n">
        <v>2625</v>
      </c>
      <c r="F8" s="38" t="s">
        <v>104</v>
      </c>
      <c r="G8" s="38" t="s">
        <v>105</v>
      </c>
      <c r="H8" s="42" t="s">
        <v>100</v>
      </c>
      <c r="I8" s="38" t="s">
        <v>106</v>
      </c>
    </row>
    <row r="9" customFormat="false" ht="16.5" hidden="false" customHeight="true" outlineLevel="0" collapsed="false">
      <c r="B9" s="31" t="s">
        <v>102</v>
      </c>
      <c r="C9" s="31" t="s">
        <v>107</v>
      </c>
      <c r="D9" s="34" t="n">
        <v>930</v>
      </c>
      <c r="E9" s="34" t="n">
        <v>2549</v>
      </c>
      <c r="F9" s="34" t="s">
        <v>108</v>
      </c>
      <c r="G9" s="34" t="s">
        <v>109</v>
      </c>
      <c r="H9" s="41" t="s">
        <v>100</v>
      </c>
      <c r="I9" s="34" t="s">
        <v>106</v>
      </c>
    </row>
    <row r="10" customFormat="false" ht="16.5" hidden="false" customHeight="true" outlineLevel="0" collapsed="false">
      <c r="B10" s="35" t="s">
        <v>110</v>
      </c>
      <c r="C10" s="35" t="s">
        <v>111</v>
      </c>
      <c r="D10" s="38" t="n">
        <v>476</v>
      </c>
      <c r="E10" s="38" t="n">
        <v>577</v>
      </c>
      <c r="F10" s="38" t="s">
        <v>112</v>
      </c>
      <c r="G10" s="38" t="s">
        <v>113</v>
      </c>
      <c r="H10" s="43" t="s">
        <v>114</v>
      </c>
      <c r="I10" s="38" t="s">
        <v>115</v>
      </c>
    </row>
    <row r="11" customFormat="false" ht="16.5" hidden="false" customHeight="true" outlineLevel="0" collapsed="false">
      <c r="B11" s="31" t="s">
        <v>116</v>
      </c>
      <c r="C11" s="31" t="s">
        <v>116</v>
      </c>
      <c r="D11" s="34" t="n">
        <v>1393</v>
      </c>
      <c r="E11" s="34" t="n">
        <v>4597</v>
      </c>
      <c r="F11" s="34" t="s">
        <v>117</v>
      </c>
      <c r="G11" s="34" t="s">
        <v>118</v>
      </c>
      <c r="H11" s="44" t="s">
        <v>119</v>
      </c>
      <c r="I11" s="34" t="s">
        <v>120</v>
      </c>
    </row>
    <row r="12" customFormat="false" ht="16.5" hidden="false" customHeight="true" outlineLevel="0" collapsed="false">
      <c r="B12" s="35" t="s">
        <v>121</v>
      </c>
      <c r="C12" s="35" t="s">
        <v>122</v>
      </c>
      <c r="D12" s="38" t="n">
        <v>667</v>
      </c>
      <c r="E12" s="38" t="n">
        <v>2316</v>
      </c>
      <c r="F12" s="38" t="s">
        <v>123</v>
      </c>
      <c r="G12" s="38" t="s">
        <v>124</v>
      </c>
      <c r="H12" s="45" t="s">
        <v>119</v>
      </c>
      <c r="I12" s="38" t="s">
        <v>125</v>
      </c>
    </row>
    <row r="13" customFormat="false" ht="16.5" hidden="false" customHeight="true" outlineLevel="0" collapsed="false">
      <c r="B13" s="31" t="s">
        <v>126</v>
      </c>
      <c r="C13" s="31" t="s">
        <v>127</v>
      </c>
      <c r="D13" s="34" t="n">
        <v>1202</v>
      </c>
      <c r="E13" s="34" t="n">
        <v>2858</v>
      </c>
      <c r="F13" s="34" t="s">
        <v>128</v>
      </c>
      <c r="G13" s="34" t="s">
        <v>129</v>
      </c>
      <c r="H13" s="41" t="s">
        <v>100</v>
      </c>
      <c r="I13" s="34" t="s">
        <v>130</v>
      </c>
    </row>
    <row r="14" customFormat="false" ht="16.5" hidden="false" customHeight="true" outlineLevel="0" collapsed="false">
      <c r="B14" s="35" t="s">
        <v>131</v>
      </c>
      <c r="C14" s="35" t="s">
        <v>132</v>
      </c>
      <c r="D14" s="38" t="n">
        <v>326</v>
      </c>
      <c r="E14" s="38" t="n">
        <v>2484</v>
      </c>
      <c r="F14" s="38" t="s">
        <v>133</v>
      </c>
      <c r="G14" s="38" t="s">
        <v>134</v>
      </c>
      <c r="H14" s="46" t="s">
        <v>135</v>
      </c>
      <c r="I14" s="38" t="s">
        <v>136</v>
      </c>
    </row>
    <row r="15" customFormat="false" ht="16.5" hidden="false" customHeight="true" outlineLevel="0" collapsed="false">
      <c r="B15" s="31" t="s">
        <v>137</v>
      </c>
      <c r="C15" s="31" t="s">
        <v>138</v>
      </c>
      <c r="D15" s="34" t="n">
        <v>1543</v>
      </c>
      <c r="E15" s="34" t="n">
        <v>2690</v>
      </c>
      <c r="F15" s="34" t="s">
        <v>139</v>
      </c>
      <c r="G15" s="34" t="s">
        <v>140</v>
      </c>
      <c r="H15" s="41" t="s">
        <v>100</v>
      </c>
      <c r="I15" s="34" t="s">
        <v>141</v>
      </c>
    </row>
    <row r="17" customFormat="false" ht="6" hidden="false" customHeight="true" outlineLevel="0" collapsed="false"/>
    <row r="18" customFormat="false" ht="24" hidden="false" customHeight="true" outlineLevel="0" collapsed="false">
      <c r="B18" s="21" t="s">
        <v>142</v>
      </c>
      <c r="C18" s="21"/>
      <c r="D18" s="21"/>
      <c r="E18" s="21"/>
      <c r="F18" s="21" t="s">
        <v>143</v>
      </c>
      <c r="G18" s="21"/>
      <c r="H18" s="21"/>
      <c r="I18" s="21"/>
    </row>
    <row r="19" customFormat="false" ht="15" hidden="false" customHeight="true" outlineLevel="0" collapsed="false">
      <c r="B19" s="30" t="s">
        <v>144</v>
      </c>
      <c r="C19" s="30" t="s">
        <v>52</v>
      </c>
      <c r="D19" s="30" t="s">
        <v>39</v>
      </c>
      <c r="E19" s="30" t="s">
        <v>4</v>
      </c>
      <c r="F19" s="30" t="s">
        <v>145</v>
      </c>
      <c r="G19" s="30" t="s">
        <v>52</v>
      </c>
      <c r="H19" s="30" t="s">
        <v>39</v>
      </c>
      <c r="I19" s="30" t="s">
        <v>146</v>
      </c>
    </row>
    <row r="20" customFormat="false" ht="16.5" hidden="false" customHeight="true" outlineLevel="0" collapsed="false">
      <c r="B20" s="31" t="s">
        <v>147</v>
      </c>
      <c r="C20" s="34" t="n">
        <v>6361</v>
      </c>
      <c r="D20" s="34" t="n">
        <v>1699</v>
      </c>
      <c r="E20" s="34" t="s">
        <v>108</v>
      </c>
      <c r="F20" s="31" t="s">
        <v>148</v>
      </c>
      <c r="G20" s="34" t="n">
        <v>2365</v>
      </c>
      <c r="H20" s="34" t="n">
        <v>1071</v>
      </c>
      <c r="I20" s="34" t="s">
        <v>149</v>
      </c>
    </row>
    <row r="21" customFormat="false" ht="16.5" hidden="false" customHeight="true" outlineLevel="0" collapsed="false">
      <c r="B21" s="35" t="s">
        <v>150</v>
      </c>
      <c r="C21" s="38" t="n">
        <v>2971</v>
      </c>
      <c r="D21" s="38" t="n">
        <v>855</v>
      </c>
      <c r="E21" s="38" t="s">
        <v>151</v>
      </c>
      <c r="F21" s="35" t="s">
        <v>152</v>
      </c>
      <c r="G21" s="38" t="n">
        <v>1612</v>
      </c>
      <c r="H21" s="38" t="n">
        <v>308</v>
      </c>
      <c r="I21" s="38" t="s">
        <v>153</v>
      </c>
    </row>
    <row r="22" customFormat="false" ht="16.5" hidden="false" customHeight="true" outlineLevel="0" collapsed="false">
      <c r="B22" s="31" t="s">
        <v>154</v>
      </c>
      <c r="C22" s="34" t="n">
        <v>2019</v>
      </c>
      <c r="D22" s="34" t="n">
        <v>296</v>
      </c>
      <c r="E22" s="34" t="s">
        <v>155</v>
      </c>
      <c r="F22" s="31" t="s">
        <v>156</v>
      </c>
      <c r="G22" s="34" t="n">
        <v>1544</v>
      </c>
      <c r="H22" s="34" t="n">
        <v>258</v>
      </c>
      <c r="I22" s="34" t="s">
        <v>157</v>
      </c>
    </row>
    <row r="23" customFormat="false" ht="16.5" hidden="false" customHeight="true" outlineLevel="0" collapsed="false">
      <c r="B23" s="35" t="s">
        <v>158</v>
      </c>
      <c r="C23" s="38" t="n">
        <v>2429</v>
      </c>
      <c r="D23" s="38" t="n">
        <v>476</v>
      </c>
      <c r="E23" s="38" t="s">
        <v>159</v>
      </c>
      <c r="F23" s="35" t="s">
        <v>160</v>
      </c>
      <c r="G23" s="38" t="n">
        <v>1522</v>
      </c>
      <c r="H23" s="38" t="n">
        <v>232</v>
      </c>
      <c r="I23" s="38" t="s">
        <v>161</v>
      </c>
    </row>
    <row r="24" customFormat="false" ht="16.5" hidden="false" customHeight="true" outlineLevel="0" collapsed="false">
      <c r="B24" s="31" t="s">
        <v>162</v>
      </c>
      <c r="C24" s="34" t="n">
        <v>2422</v>
      </c>
      <c r="D24" s="34" t="n">
        <v>479</v>
      </c>
      <c r="E24" s="34" t="s">
        <v>163</v>
      </c>
    </row>
    <row r="25" customFormat="false" ht="16.5" hidden="false" customHeight="true" outlineLevel="0" collapsed="false">
      <c r="B25" s="35" t="s">
        <v>164</v>
      </c>
      <c r="C25" s="38" t="n">
        <v>2044</v>
      </c>
      <c r="D25" s="38" t="n">
        <v>310</v>
      </c>
      <c r="E25" s="38" t="s">
        <v>161</v>
      </c>
    </row>
    <row r="26" customFormat="false" ht="16.5" hidden="false" customHeight="true" outlineLevel="0" collapsed="false">
      <c r="B26" s="31" t="s">
        <v>165</v>
      </c>
      <c r="C26" s="34" t="n">
        <v>2707</v>
      </c>
      <c r="D26" s="34" t="n">
        <v>664</v>
      </c>
      <c r="E26" s="34" t="s">
        <v>166</v>
      </c>
    </row>
    <row r="27" customFormat="false" ht="16.5" hidden="false" customHeight="true" outlineLevel="0" collapsed="false">
      <c r="B27" s="35" t="s">
        <v>167</v>
      </c>
      <c r="C27" s="38" t="n">
        <v>2732</v>
      </c>
      <c r="D27" s="38" t="n">
        <v>694</v>
      </c>
      <c r="E27" s="38" t="s">
        <v>168</v>
      </c>
    </row>
    <row r="28" customFormat="false" ht="16.5" hidden="false" customHeight="true" outlineLevel="0" collapsed="false">
      <c r="B28" s="31" t="s">
        <v>169</v>
      </c>
      <c r="C28" s="34" t="n">
        <v>4171</v>
      </c>
      <c r="D28" s="34" t="n">
        <v>1400</v>
      </c>
      <c r="E28" s="34" t="s">
        <v>170</v>
      </c>
    </row>
    <row r="30" customFormat="false" ht="15.75" hidden="false" customHeight="true" outlineLevel="0" collapsed="false">
      <c r="A30" s="18" t="s">
        <v>36</v>
      </c>
      <c r="B30" s="18"/>
      <c r="C30" s="18"/>
      <c r="D30" s="18"/>
      <c r="E30" s="18"/>
      <c r="F30" s="18"/>
      <c r="G30" s="18"/>
      <c r="H30" s="18"/>
      <c r="I30" s="18"/>
    </row>
  </sheetData>
  <mergeCells count="5">
    <mergeCell ref="A2:J3"/>
    <mergeCell ref="B5:I5"/>
    <mergeCell ref="B18:E18"/>
    <mergeCell ref="F18:I18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8" min="3" style="1" width="16"/>
    <col collapsed="false" customWidth="true" hidden="false" outlineLevel="0" max="9" min="9" style="1" width="2"/>
  </cols>
  <sheetData>
    <row r="1" customFormat="false" ht="7.5" hidden="false" customHeight="true" outlineLevel="0" collapsed="false">
      <c r="A1" s="19"/>
      <c r="B1" s="19"/>
      <c r="C1" s="19"/>
      <c r="D1" s="19"/>
      <c r="E1" s="19"/>
      <c r="F1" s="19"/>
      <c r="G1" s="19"/>
      <c r="H1" s="19"/>
      <c r="I1" s="19"/>
    </row>
    <row r="2" customFormat="false" ht="30" hidden="false" customHeight="true" outlineLevel="0" collapsed="false">
      <c r="A2" s="20" t="s">
        <v>171</v>
      </c>
      <c r="B2" s="20"/>
      <c r="C2" s="20"/>
      <c r="D2" s="20"/>
      <c r="E2" s="20"/>
      <c r="F2" s="20"/>
      <c r="G2" s="20"/>
      <c r="H2" s="20"/>
      <c r="I2" s="20"/>
    </row>
    <row r="3" customFormat="false" ht="7.5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</row>
    <row r="5" customFormat="false" ht="24" hidden="false" customHeight="true" outlineLevel="0" collapsed="false">
      <c r="B5" s="21" t="s">
        <v>172</v>
      </c>
      <c r="C5" s="21"/>
      <c r="D5" s="21"/>
      <c r="E5" s="21"/>
      <c r="F5" s="21"/>
      <c r="G5" s="21"/>
      <c r="H5" s="21"/>
    </row>
    <row r="6" customFormat="false" ht="19.5" hidden="false" customHeight="true" outlineLevel="0" collapsed="false">
      <c r="B6" s="47" t="s">
        <v>173</v>
      </c>
      <c r="C6" s="48" t="s">
        <v>174</v>
      </c>
      <c r="D6" s="49" t="s">
        <v>175</v>
      </c>
      <c r="E6" s="49"/>
      <c r="F6" s="49"/>
      <c r="G6" s="49"/>
      <c r="H6" s="49"/>
    </row>
    <row r="7" customFormat="false" ht="19.5" hidden="false" customHeight="true" outlineLevel="0" collapsed="false">
      <c r="B7" s="50" t="s">
        <v>176</v>
      </c>
      <c r="C7" s="51" t="s">
        <v>177</v>
      </c>
      <c r="D7" s="52" t="s">
        <v>178</v>
      </c>
      <c r="E7" s="52"/>
      <c r="F7" s="52"/>
      <c r="G7" s="52"/>
      <c r="H7" s="52"/>
    </row>
    <row r="8" customFormat="false" ht="19.5" hidden="false" customHeight="true" outlineLevel="0" collapsed="false">
      <c r="B8" s="47" t="s">
        <v>179</v>
      </c>
      <c r="C8" s="53" t="s">
        <v>99</v>
      </c>
      <c r="D8" s="49" t="s">
        <v>180</v>
      </c>
      <c r="E8" s="49"/>
      <c r="F8" s="49"/>
      <c r="G8" s="49"/>
      <c r="H8" s="49"/>
    </row>
    <row r="9" customFormat="false" ht="19.5" hidden="false" customHeight="true" outlineLevel="0" collapsed="false">
      <c r="B9" s="50" t="s">
        <v>181</v>
      </c>
      <c r="C9" s="54" t="s">
        <v>182</v>
      </c>
      <c r="D9" s="52" t="s">
        <v>183</v>
      </c>
      <c r="E9" s="52"/>
      <c r="F9" s="52"/>
      <c r="G9" s="52"/>
      <c r="H9" s="52"/>
    </row>
    <row r="10" customFormat="false" ht="19.5" hidden="false" customHeight="true" outlineLevel="0" collapsed="false">
      <c r="B10" s="47" t="s">
        <v>184</v>
      </c>
      <c r="C10" s="55" t="s">
        <v>185</v>
      </c>
      <c r="D10" s="49" t="s">
        <v>186</v>
      </c>
      <c r="E10" s="49"/>
      <c r="F10" s="49"/>
      <c r="G10" s="49"/>
      <c r="H10" s="49"/>
    </row>
    <row r="11" customFormat="false" ht="19.5" hidden="false" customHeight="true" outlineLevel="0" collapsed="false">
      <c r="B11" s="50" t="s">
        <v>187</v>
      </c>
      <c r="C11" s="56" t="s">
        <v>188</v>
      </c>
      <c r="D11" s="52" t="s">
        <v>189</v>
      </c>
      <c r="E11" s="52"/>
      <c r="F11" s="52"/>
      <c r="G11" s="52"/>
      <c r="H11" s="52"/>
    </row>
    <row r="12" customFormat="false" ht="19.5" hidden="false" customHeight="true" outlineLevel="0" collapsed="false">
      <c r="B12" s="47" t="s">
        <v>190</v>
      </c>
      <c r="C12" s="53" t="s">
        <v>113</v>
      </c>
      <c r="D12" s="49" t="s">
        <v>191</v>
      </c>
      <c r="E12" s="49"/>
      <c r="F12" s="49"/>
      <c r="G12" s="49"/>
      <c r="H12" s="49"/>
    </row>
    <row r="14" customFormat="false" ht="6" hidden="false" customHeight="true" outlineLevel="0" collapsed="false"/>
    <row r="15" customFormat="false" ht="24" hidden="false" customHeight="true" outlineLevel="0" collapsed="false">
      <c r="B15" s="21" t="s">
        <v>192</v>
      </c>
      <c r="C15" s="21"/>
      <c r="D15" s="21"/>
      <c r="E15" s="21"/>
      <c r="F15" s="21"/>
      <c r="G15" s="21"/>
      <c r="H15" s="21"/>
    </row>
    <row r="16" customFormat="false" ht="15" hidden="false" customHeight="true" outlineLevel="0" collapsed="false">
      <c r="B16" s="30" t="s">
        <v>193</v>
      </c>
      <c r="C16" s="30" t="s">
        <v>194</v>
      </c>
      <c r="D16" s="30" t="s">
        <v>195</v>
      </c>
      <c r="E16" s="30" t="s">
        <v>196</v>
      </c>
      <c r="F16" s="30" t="s">
        <v>197</v>
      </c>
      <c r="G16" s="30" t="s">
        <v>198</v>
      </c>
      <c r="H16" s="30" t="s">
        <v>95</v>
      </c>
    </row>
    <row r="17" customFormat="false" ht="18" hidden="false" customHeight="true" outlineLevel="0" collapsed="false">
      <c r="B17" s="31" t="s">
        <v>53</v>
      </c>
      <c r="C17" s="34" t="s">
        <v>199</v>
      </c>
      <c r="D17" s="34" t="s">
        <v>200</v>
      </c>
      <c r="E17" s="34" t="s">
        <v>201</v>
      </c>
      <c r="F17" s="34" t="s">
        <v>202</v>
      </c>
      <c r="G17" s="34" t="s">
        <v>203</v>
      </c>
      <c r="H17" s="57" t="s">
        <v>114</v>
      </c>
    </row>
    <row r="18" customFormat="false" ht="18" hidden="false" customHeight="true" outlineLevel="0" collapsed="false">
      <c r="B18" s="35" t="s">
        <v>56</v>
      </c>
      <c r="C18" s="38" t="s">
        <v>204</v>
      </c>
      <c r="D18" s="38" t="s">
        <v>205</v>
      </c>
      <c r="E18" s="38" t="s">
        <v>206</v>
      </c>
      <c r="F18" s="38" t="s">
        <v>207</v>
      </c>
      <c r="G18" s="38" t="s">
        <v>208</v>
      </c>
      <c r="H18" s="45" t="s">
        <v>119</v>
      </c>
    </row>
    <row r="19" customFormat="false" ht="18" hidden="false" customHeight="true" outlineLevel="0" collapsed="false">
      <c r="B19" s="31" t="s">
        <v>59</v>
      </c>
      <c r="C19" s="34" t="s">
        <v>209</v>
      </c>
      <c r="D19" s="34" t="s">
        <v>210</v>
      </c>
      <c r="E19" s="34" t="s">
        <v>211</v>
      </c>
      <c r="F19" s="34" t="s">
        <v>212</v>
      </c>
      <c r="G19" s="34" t="s">
        <v>213</v>
      </c>
      <c r="H19" s="58" t="s">
        <v>135</v>
      </c>
    </row>
    <row r="20" customFormat="false" ht="18" hidden="false" customHeight="true" outlineLevel="0" collapsed="false">
      <c r="B20" s="59" t="s">
        <v>214</v>
      </c>
      <c r="C20" s="60" t="s">
        <v>174</v>
      </c>
      <c r="D20" s="60" t="s">
        <v>215</v>
      </c>
      <c r="E20" s="60" t="s">
        <v>216</v>
      </c>
      <c r="F20" s="60" t="s">
        <v>217</v>
      </c>
      <c r="G20" s="60" t="s">
        <v>218</v>
      </c>
      <c r="H20" s="61" t="s">
        <v>100</v>
      </c>
    </row>
    <row r="22" customFormat="false" ht="6" hidden="false" customHeight="true" outlineLevel="0" collapsed="false"/>
    <row r="23" customFormat="false" ht="24" hidden="false" customHeight="true" outlineLevel="0" collapsed="false">
      <c r="B23" s="21" t="s">
        <v>219</v>
      </c>
      <c r="C23" s="21"/>
      <c r="D23" s="21"/>
      <c r="E23" s="21"/>
      <c r="F23" s="21"/>
      <c r="G23" s="21"/>
      <c r="H23" s="21"/>
    </row>
    <row r="24" customFormat="false" ht="15" hidden="false" customHeight="true" outlineLevel="0" collapsed="false">
      <c r="B24" s="30" t="s">
        <v>220</v>
      </c>
      <c r="C24" s="30" t="s">
        <v>3</v>
      </c>
      <c r="D24" s="30" t="s">
        <v>39</v>
      </c>
      <c r="E24" s="30" t="s">
        <v>4</v>
      </c>
      <c r="F24" s="30" t="s">
        <v>221</v>
      </c>
      <c r="G24" s="30" t="s">
        <v>197</v>
      </c>
      <c r="H24" s="30" t="s">
        <v>222</v>
      </c>
    </row>
    <row r="25" customFormat="false" ht="16.5" hidden="false" customHeight="true" outlineLevel="0" collapsed="false">
      <c r="B25" s="31" t="s">
        <v>223</v>
      </c>
      <c r="C25" s="34" t="n">
        <v>1157</v>
      </c>
      <c r="D25" s="34" t="n">
        <v>184</v>
      </c>
      <c r="E25" s="34" t="s">
        <v>224</v>
      </c>
      <c r="F25" s="34" t="s">
        <v>225</v>
      </c>
      <c r="G25" s="34" t="s">
        <v>226</v>
      </c>
      <c r="H25" s="58" t="s">
        <v>135</v>
      </c>
    </row>
    <row r="26" customFormat="false" ht="16.5" hidden="false" customHeight="true" outlineLevel="0" collapsed="false">
      <c r="B26" s="35" t="s">
        <v>227</v>
      </c>
      <c r="C26" s="38" t="n">
        <v>1934</v>
      </c>
      <c r="D26" s="38" t="n">
        <v>447</v>
      </c>
      <c r="E26" s="38" t="s">
        <v>228</v>
      </c>
      <c r="F26" s="38" t="s">
        <v>229</v>
      </c>
      <c r="G26" s="38" t="s">
        <v>230</v>
      </c>
      <c r="H26" s="45" t="s">
        <v>119</v>
      </c>
    </row>
    <row r="27" customFormat="false" ht="16.5" hidden="false" customHeight="true" outlineLevel="0" collapsed="false">
      <c r="B27" s="31" t="s">
        <v>231</v>
      </c>
      <c r="C27" s="34" t="n">
        <v>2141</v>
      </c>
      <c r="D27" s="34" t="n">
        <v>734</v>
      </c>
      <c r="E27" s="34" t="s">
        <v>232</v>
      </c>
      <c r="F27" s="34" t="s">
        <v>233</v>
      </c>
      <c r="G27" s="34" t="s">
        <v>234</v>
      </c>
      <c r="H27" s="41" t="s">
        <v>100</v>
      </c>
    </row>
    <row r="28" customFormat="false" ht="16.5" hidden="false" customHeight="true" outlineLevel="0" collapsed="false">
      <c r="B28" s="35" t="s">
        <v>235</v>
      </c>
      <c r="C28" s="38" t="n">
        <v>1811</v>
      </c>
      <c r="D28" s="38" t="n">
        <v>504</v>
      </c>
      <c r="E28" s="38" t="s">
        <v>236</v>
      </c>
      <c r="F28" s="38" t="s">
        <v>237</v>
      </c>
      <c r="G28" s="38" t="s">
        <v>238</v>
      </c>
      <c r="H28" s="42" t="s">
        <v>100</v>
      </c>
    </row>
    <row r="29" customFormat="false" ht="16.5" hidden="false" customHeight="true" outlineLevel="0" collapsed="false">
      <c r="B29" s="31" t="s">
        <v>239</v>
      </c>
      <c r="C29" s="34" t="n">
        <v>827</v>
      </c>
      <c r="D29" s="34" t="n">
        <v>312</v>
      </c>
      <c r="E29" s="34" t="s">
        <v>240</v>
      </c>
      <c r="F29" s="34" t="s">
        <v>241</v>
      </c>
      <c r="G29" s="34" t="s">
        <v>242</v>
      </c>
      <c r="H29" s="57" t="s">
        <v>114</v>
      </c>
    </row>
    <row r="31" customFormat="false" ht="15.75" hidden="false" customHeight="true" outlineLevel="0" collapsed="false">
      <c r="A31" s="18" t="s">
        <v>36</v>
      </c>
      <c r="B31" s="18"/>
      <c r="C31" s="18"/>
      <c r="D31" s="18"/>
      <c r="E31" s="18"/>
      <c r="F31" s="18"/>
      <c r="G31" s="18"/>
      <c r="H31" s="18"/>
      <c r="I31" s="18"/>
    </row>
  </sheetData>
  <mergeCells count="12">
    <mergeCell ref="A2:I3"/>
    <mergeCell ref="B5:H5"/>
    <mergeCell ref="D6:H6"/>
    <mergeCell ref="D7:H7"/>
    <mergeCell ref="D8:H8"/>
    <mergeCell ref="D9:H9"/>
    <mergeCell ref="D10:H10"/>
    <mergeCell ref="D11:H11"/>
    <mergeCell ref="D12:H12"/>
    <mergeCell ref="B15:H15"/>
    <mergeCell ref="B23:H23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6" min="3" style="1" width="14"/>
    <col collapsed="false" customWidth="true" hidden="false" outlineLevel="0" max="7" min="7" style="1" width="16"/>
    <col collapsed="false" customWidth="true" hidden="false" outlineLevel="0" max="9" min="8" style="1" width="14"/>
    <col collapsed="false" customWidth="true" hidden="false" outlineLevel="0" max="10" min="10" style="1" width="2"/>
  </cols>
  <sheetData>
    <row r="1" customFormat="false" ht="7.5" hidden="false" customHeight="true" outlineLevel="0" collapsed="false">
      <c r="A1" s="19"/>
      <c r="B1" s="19"/>
      <c r="C1" s="19"/>
      <c r="D1" s="19"/>
      <c r="E1" s="19"/>
      <c r="F1" s="19"/>
      <c r="G1" s="19"/>
      <c r="H1" s="19"/>
      <c r="I1" s="19"/>
      <c r="J1" s="19"/>
    </row>
    <row r="2" customFormat="false" ht="30" hidden="false" customHeight="true" outlineLevel="0" collapsed="false">
      <c r="A2" s="20" t="s">
        <v>243</v>
      </c>
      <c r="B2" s="20"/>
      <c r="C2" s="20"/>
      <c r="D2" s="20"/>
      <c r="E2" s="20"/>
      <c r="F2" s="20"/>
      <c r="G2" s="20"/>
      <c r="H2" s="20"/>
      <c r="I2" s="20"/>
      <c r="J2" s="20"/>
    </row>
    <row r="3" customFormat="false" ht="7.5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</row>
    <row r="5" customFormat="false" ht="24" hidden="false" customHeight="true" outlineLevel="0" collapsed="false">
      <c r="B5" s="21" t="s">
        <v>244</v>
      </c>
      <c r="C5" s="21"/>
      <c r="D5" s="21"/>
      <c r="E5" s="21"/>
      <c r="F5" s="21"/>
      <c r="G5" s="21"/>
      <c r="H5" s="21"/>
      <c r="I5" s="21"/>
    </row>
    <row r="6" customFormat="false" ht="15" hidden="false" customHeight="true" outlineLevel="0" collapsed="false">
      <c r="B6" s="30" t="s">
        <v>245</v>
      </c>
      <c r="C6" s="30" t="s">
        <v>246</v>
      </c>
      <c r="D6" s="30" t="s">
        <v>52</v>
      </c>
      <c r="E6" s="30" t="s">
        <v>247</v>
      </c>
      <c r="F6" s="30" t="s">
        <v>4</v>
      </c>
      <c r="G6" s="30" t="s">
        <v>41</v>
      </c>
      <c r="H6" s="30" t="s">
        <v>248</v>
      </c>
      <c r="I6" s="30" t="s">
        <v>249</v>
      </c>
    </row>
    <row r="7" customFormat="false" ht="19.5" hidden="false" customHeight="true" outlineLevel="0" collapsed="false">
      <c r="B7" s="47" t="s">
        <v>250</v>
      </c>
      <c r="C7" s="31" t="s">
        <v>251</v>
      </c>
      <c r="D7" s="34" t="n">
        <v>612</v>
      </c>
      <c r="E7" s="34" t="s">
        <v>252</v>
      </c>
      <c r="F7" s="34" t="s">
        <v>253</v>
      </c>
      <c r="G7" s="34" t="s">
        <v>254</v>
      </c>
      <c r="H7" s="34" t="s">
        <v>255</v>
      </c>
      <c r="I7" s="47" t="s">
        <v>256</v>
      </c>
    </row>
    <row r="8" customFormat="false" ht="19.5" hidden="false" customHeight="true" outlineLevel="0" collapsed="false">
      <c r="B8" s="50" t="s">
        <v>257</v>
      </c>
      <c r="C8" s="35" t="s">
        <v>258</v>
      </c>
      <c r="D8" s="38" t="n">
        <v>3263</v>
      </c>
      <c r="E8" s="38" t="s">
        <v>259</v>
      </c>
      <c r="F8" s="38" t="s">
        <v>260</v>
      </c>
      <c r="G8" s="38" t="s">
        <v>261</v>
      </c>
      <c r="H8" s="38" t="s">
        <v>262</v>
      </c>
      <c r="I8" s="50" t="s">
        <v>263</v>
      </c>
    </row>
    <row r="9" customFormat="false" ht="19.5" hidden="false" customHeight="true" outlineLevel="0" collapsed="false">
      <c r="B9" s="47" t="s">
        <v>264</v>
      </c>
      <c r="C9" s="31" t="s">
        <v>265</v>
      </c>
      <c r="D9" s="34" t="n">
        <v>1473</v>
      </c>
      <c r="E9" s="34" t="s">
        <v>266</v>
      </c>
      <c r="F9" s="34" t="s">
        <v>267</v>
      </c>
      <c r="G9" s="34" t="s">
        <v>268</v>
      </c>
      <c r="H9" s="34" t="s">
        <v>207</v>
      </c>
      <c r="I9" s="47" t="s">
        <v>269</v>
      </c>
    </row>
    <row r="10" customFormat="false" ht="19.5" hidden="false" customHeight="true" outlineLevel="0" collapsed="false">
      <c r="B10" s="50" t="s">
        <v>270</v>
      </c>
      <c r="C10" s="35" t="s">
        <v>271</v>
      </c>
      <c r="D10" s="38" t="n">
        <v>1695</v>
      </c>
      <c r="E10" s="38" t="s">
        <v>272</v>
      </c>
      <c r="F10" s="38" t="s">
        <v>273</v>
      </c>
      <c r="G10" s="38" t="s">
        <v>274</v>
      </c>
      <c r="H10" s="38" t="s">
        <v>275</v>
      </c>
      <c r="I10" s="50" t="s">
        <v>276</v>
      </c>
    </row>
    <row r="12" customFormat="false" ht="6" hidden="false" customHeight="true" outlineLevel="0" collapsed="false"/>
    <row r="13" customFormat="false" ht="24" hidden="false" customHeight="true" outlineLevel="0" collapsed="false">
      <c r="B13" s="21" t="s">
        <v>277</v>
      </c>
      <c r="C13" s="21"/>
      <c r="D13" s="21"/>
      <c r="E13" s="21"/>
      <c r="F13" s="21"/>
      <c r="G13" s="21"/>
      <c r="H13" s="21"/>
      <c r="I13" s="21"/>
    </row>
    <row r="14" customFormat="false" ht="15" hidden="false" customHeight="true" outlineLevel="0" collapsed="false">
      <c r="B14" s="30" t="s">
        <v>278</v>
      </c>
      <c r="C14" s="30" t="s">
        <v>279</v>
      </c>
      <c r="D14" s="30" t="s">
        <v>280</v>
      </c>
      <c r="E14" s="30" t="s">
        <v>281</v>
      </c>
      <c r="F14" s="30" t="s">
        <v>4</v>
      </c>
      <c r="G14" s="30" t="s">
        <v>282</v>
      </c>
      <c r="H14" s="30" t="s">
        <v>283</v>
      </c>
      <c r="I14" s="30" t="s">
        <v>284</v>
      </c>
    </row>
    <row r="15" customFormat="false" ht="16.5" hidden="false" customHeight="true" outlineLevel="0" collapsed="false">
      <c r="B15" s="47" t="s">
        <v>285</v>
      </c>
      <c r="C15" s="34" t="n">
        <v>1329</v>
      </c>
      <c r="D15" s="34" t="s">
        <v>286</v>
      </c>
      <c r="E15" s="34" t="s">
        <v>287</v>
      </c>
      <c r="F15" s="34" t="s">
        <v>70</v>
      </c>
      <c r="G15" s="31" t="s">
        <v>288</v>
      </c>
      <c r="H15" s="34" t="s">
        <v>289</v>
      </c>
      <c r="I15" s="31" t="s">
        <v>290</v>
      </c>
    </row>
    <row r="16" customFormat="false" ht="16.5" hidden="false" customHeight="true" outlineLevel="0" collapsed="false">
      <c r="B16" s="50" t="s">
        <v>291</v>
      </c>
      <c r="C16" s="38" t="n">
        <v>997</v>
      </c>
      <c r="D16" s="38" t="s">
        <v>292</v>
      </c>
      <c r="E16" s="38" t="s">
        <v>293</v>
      </c>
      <c r="F16" s="38" t="s">
        <v>71</v>
      </c>
      <c r="G16" s="35" t="s">
        <v>294</v>
      </c>
      <c r="H16" s="38" t="s">
        <v>295</v>
      </c>
      <c r="I16" s="35" t="s">
        <v>296</v>
      </c>
    </row>
    <row r="17" customFormat="false" ht="16.5" hidden="false" customHeight="true" outlineLevel="0" collapsed="false">
      <c r="B17" s="47" t="s">
        <v>297</v>
      </c>
      <c r="C17" s="34" t="n">
        <v>892</v>
      </c>
      <c r="D17" s="34" t="s">
        <v>298</v>
      </c>
      <c r="E17" s="34" t="s">
        <v>299</v>
      </c>
      <c r="F17" s="34" t="s">
        <v>72</v>
      </c>
      <c r="G17" s="31" t="s">
        <v>300</v>
      </c>
      <c r="H17" s="34" t="s">
        <v>301</v>
      </c>
      <c r="I17" s="31" t="s">
        <v>302</v>
      </c>
    </row>
    <row r="18" customFormat="false" ht="16.5" hidden="false" customHeight="true" outlineLevel="0" collapsed="false">
      <c r="B18" s="50" t="s">
        <v>303</v>
      </c>
      <c r="C18" s="38" t="n">
        <v>815</v>
      </c>
      <c r="D18" s="38" t="s">
        <v>304</v>
      </c>
      <c r="E18" s="38" t="s">
        <v>305</v>
      </c>
      <c r="F18" s="38" t="s">
        <v>73</v>
      </c>
      <c r="G18" s="35" t="s">
        <v>306</v>
      </c>
      <c r="H18" s="38" t="s">
        <v>307</v>
      </c>
      <c r="I18" s="35" t="s">
        <v>308</v>
      </c>
    </row>
    <row r="19" customFormat="false" ht="16.5" hidden="false" customHeight="true" outlineLevel="0" collapsed="false">
      <c r="B19" s="47" t="s">
        <v>309</v>
      </c>
      <c r="C19" s="34" t="n">
        <v>779</v>
      </c>
      <c r="D19" s="34" t="s">
        <v>310</v>
      </c>
      <c r="E19" s="34" t="s">
        <v>311</v>
      </c>
      <c r="F19" s="34" t="s">
        <v>74</v>
      </c>
      <c r="G19" s="31" t="s">
        <v>312</v>
      </c>
      <c r="H19" s="34" t="s">
        <v>313</v>
      </c>
      <c r="I19" s="31" t="s">
        <v>314</v>
      </c>
    </row>
    <row r="20" customFormat="false" ht="16.5" hidden="false" customHeight="true" outlineLevel="0" collapsed="false">
      <c r="B20" s="50" t="s">
        <v>315</v>
      </c>
      <c r="C20" s="38" t="n">
        <v>1231</v>
      </c>
      <c r="D20" s="38" t="s">
        <v>316</v>
      </c>
      <c r="E20" s="38" t="s">
        <v>317</v>
      </c>
      <c r="F20" s="38" t="s">
        <v>318</v>
      </c>
      <c r="G20" s="35" t="s">
        <v>319</v>
      </c>
      <c r="H20" s="38" t="s">
        <v>320</v>
      </c>
      <c r="I20" s="35" t="s">
        <v>321</v>
      </c>
    </row>
    <row r="21" customFormat="false" ht="16.5" hidden="false" customHeight="true" outlineLevel="0" collapsed="false">
      <c r="B21" s="47" t="s">
        <v>322</v>
      </c>
      <c r="C21" s="34" t="n">
        <v>1053</v>
      </c>
      <c r="D21" s="34" t="s">
        <v>323</v>
      </c>
      <c r="E21" s="34" t="s">
        <v>324</v>
      </c>
      <c r="F21" s="34" t="s">
        <v>112</v>
      </c>
      <c r="G21" s="31" t="s">
        <v>325</v>
      </c>
      <c r="H21" s="34" t="s">
        <v>326</v>
      </c>
      <c r="I21" s="31" t="s">
        <v>327</v>
      </c>
    </row>
    <row r="22" customFormat="false" ht="16.5" hidden="false" customHeight="true" outlineLevel="0" collapsed="false">
      <c r="B22" s="50" t="s">
        <v>328</v>
      </c>
      <c r="C22" s="38" t="n">
        <v>2810</v>
      </c>
      <c r="D22" s="38" t="s">
        <v>329</v>
      </c>
      <c r="E22" s="38" t="s">
        <v>330</v>
      </c>
      <c r="F22" s="38" t="s">
        <v>133</v>
      </c>
      <c r="G22" s="35" t="s">
        <v>331</v>
      </c>
      <c r="H22" s="38" t="s">
        <v>332</v>
      </c>
      <c r="I22" s="35" t="s">
        <v>333</v>
      </c>
    </row>
    <row r="24" customFormat="false" ht="6" hidden="false" customHeight="true" outlineLevel="0" collapsed="false"/>
    <row r="25" customFormat="false" ht="24" hidden="false" customHeight="true" outlineLevel="0" collapsed="false">
      <c r="B25" s="21" t="s">
        <v>334</v>
      </c>
      <c r="C25" s="21"/>
      <c r="D25" s="21"/>
      <c r="E25" s="21"/>
      <c r="F25" s="21"/>
      <c r="G25" s="21"/>
      <c r="H25" s="21"/>
      <c r="I25" s="21"/>
    </row>
    <row r="26" customFormat="false" ht="15" hidden="false" customHeight="true" outlineLevel="0" collapsed="false">
      <c r="B26" s="30" t="s">
        <v>278</v>
      </c>
      <c r="C26" s="30" t="s">
        <v>280</v>
      </c>
      <c r="D26" s="30" t="s">
        <v>335</v>
      </c>
      <c r="E26" s="30" t="s">
        <v>336</v>
      </c>
      <c r="F26" s="30" t="s">
        <v>337</v>
      </c>
      <c r="G26" s="30" t="s">
        <v>338</v>
      </c>
      <c r="H26" s="30" t="s">
        <v>339</v>
      </c>
      <c r="I26" s="30" t="s">
        <v>249</v>
      </c>
    </row>
    <row r="27" customFormat="false" ht="16.5" hidden="false" customHeight="true" outlineLevel="0" collapsed="false">
      <c r="B27" s="31" t="s">
        <v>315</v>
      </c>
      <c r="C27" s="34" t="s">
        <v>340</v>
      </c>
      <c r="D27" s="34" t="s">
        <v>317</v>
      </c>
      <c r="E27" s="34" t="s">
        <v>341</v>
      </c>
      <c r="F27" s="34" t="s">
        <v>342</v>
      </c>
      <c r="G27" s="34" t="s">
        <v>343</v>
      </c>
      <c r="H27" s="34" t="s">
        <v>344</v>
      </c>
      <c r="I27" s="47" t="s">
        <v>345</v>
      </c>
    </row>
    <row r="28" customFormat="false" ht="16.5" hidden="false" customHeight="true" outlineLevel="0" collapsed="false">
      <c r="B28" s="35" t="s">
        <v>309</v>
      </c>
      <c r="C28" s="38" t="s">
        <v>346</v>
      </c>
      <c r="D28" s="38" t="s">
        <v>311</v>
      </c>
      <c r="E28" s="38" t="s">
        <v>347</v>
      </c>
      <c r="F28" s="38" t="s">
        <v>348</v>
      </c>
      <c r="G28" s="38" t="s">
        <v>349</v>
      </c>
      <c r="H28" s="38" t="s">
        <v>350</v>
      </c>
      <c r="I28" s="50" t="s">
        <v>351</v>
      </c>
    </row>
    <row r="29" customFormat="false" ht="16.5" hidden="false" customHeight="true" outlineLevel="0" collapsed="false">
      <c r="B29" s="31" t="s">
        <v>328</v>
      </c>
      <c r="C29" s="34" t="s">
        <v>352</v>
      </c>
      <c r="D29" s="34" t="s">
        <v>330</v>
      </c>
      <c r="E29" s="34" t="s">
        <v>353</v>
      </c>
      <c r="F29" s="34" t="s">
        <v>342</v>
      </c>
      <c r="G29" s="34" t="s">
        <v>354</v>
      </c>
      <c r="H29" s="34" t="s">
        <v>355</v>
      </c>
      <c r="I29" s="47" t="s">
        <v>356</v>
      </c>
    </row>
    <row r="30" customFormat="false" ht="16.5" hidden="false" customHeight="true" outlineLevel="0" collapsed="false">
      <c r="B30" s="35" t="s">
        <v>303</v>
      </c>
      <c r="C30" s="38" t="s">
        <v>357</v>
      </c>
      <c r="D30" s="38" t="s">
        <v>305</v>
      </c>
      <c r="E30" s="38" t="s">
        <v>358</v>
      </c>
      <c r="F30" s="38" t="s">
        <v>348</v>
      </c>
      <c r="G30" s="38" t="s">
        <v>359</v>
      </c>
      <c r="H30" s="38" t="s">
        <v>360</v>
      </c>
      <c r="I30" s="50" t="s">
        <v>361</v>
      </c>
    </row>
    <row r="31" customFormat="false" ht="16.5" hidden="false" customHeight="true" outlineLevel="0" collapsed="false">
      <c r="B31" s="31" t="s">
        <v>297</v>
      </c>
      <c r="C31" s="34" t="s">
        <v>362</v>
      </c>
      <c r="D31" s="34" t="s">
        <v>299</v>
      </c>
      <c r="E31" s="34" t="s">
        <v>363</v>
      </c>
      <c r="F31" s="34" t="s">
        <v>348</v>
      </c>
      <c r="G31" s="34" t="s">
        <v>364</v>
      </c>
      <c r="H31" s="34" t="s">
        <v>365</v>
      </c>
      <c r="I31" s="47" t="s">
        <v>366</v>
      </c>
    </row>
    <row r="32" customFormat="false" ht="16.5" hidden="false" customHeight="true" outlineLevel="0" collapsed="false">
      <c r="B32" s="35" t="s">
        <v>291</v>
      </c>
      <c r="C32" s="38" t="s">
        <v>367</v>
      </c>
      <c r="D32" s="38" t="s">
        <v>293</v>
      </c>
      <c r="E32" s="38" t="s">
        <v>368</v>
      </c>
      <c r="F32" s="38" t="s">
        <v>369</v>
      </c>
      <c r="G32" s="38" t="s">
        <v>370</v>
      </c>
      <c r="H32" s="38" t="s">
        <v>371</v>
      </c>
      <c r="I32" s="50" t="s">
        <v>372</v>
      </c>
    </row>
    <row r="33" customFormat="false" ht="16.5" hidden="false" customHeight="true" outlineLevel="0" collapsed="false">
      <c r="B33" s="31" t="s">
        <v>373</v>
      </c>
      <c r="C33" s="34" t="s">
        <v>374</v>
      </c>
      <c r="D33" s="34" t="s">
        <v>287</v>
      </c>
      <c r="E33" s="34" t="s">
        <v>375</v>
      </c>
      <c r="F33" s="34" t="s">
        <v>376</v>
      </c>
      <c r="G33" s="34" t="s">
        <v>377</v>
      </c>
      <c r="H33" s="34" t="s">
        <v>378</v>
      </c>
      <c r="I33" s="47" t="s">
        <v>379</v>
      </c>
    </row>
    <row r="34" customFormat="false" ht="16.5" hidden="false" customHeight="true" outlineLevel="0" collapsed="false">
      <c r="B34" s="35" t="s">
        <v>322</v>
      </c>
      <c r="C34" s="38" t="s">
        <v>380</v>
      </c>
      <c r="D34" s="38" t="s">
        <v>324</v>
      </c>
      <c r="E34" s="38" t="s">
        <v>381</v>
      </c>
      <c r="F34" s="38" t="s">
        <v>369</v>
      </c>
      <c r="G34" s="38" t="s">
        <v>382</v>
      </c>
      <c r="H34" s="38" t="s">
        <v>383</v>
      </c>
      <c r="I34" s="50" t="s">
        <v>384</v>
      </c>
    </row>
    <row r="36" customFormat="false" ht="15.75" hidden="false" customHeight="true" outlineLevel="0" collapsed="false">
      <c r="A36" s="18" t="s">
        <v>36</v>
      </c>
      <c r="B36" s="18"/>
      <c r="C36" s="18"/>
      <c r="D36" s="18"/>
      <c r="E36" s="18"/>
      <c r="F36" s="18"/>
      <c r="G36" s="18"/>
      <c r="H36" s="18"/>
      <c r="I36" s="18"/>
    </row>
  </sheetData>
  <mergeCells count="5">
    <mergeCell ref="A2:J3"/>
    <mergeCell ref="B5:I5"/>
    <mergeCell ref="B13:I13"/>
    <mergeCell ref="B25:I25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6" min="3" style="1" width="14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2"/>
  </cols>
  <sheetData>
    <row r="1" customFormat="false" ht="7.5" hidden="false" customHeight="true" outlineLevel="0" collapsed="false">
      <c r="A1" s="19"/>
      <c r="B1" s="19"/>
      <c r="C1" s="19"/>
      <c r="D1" s="19"/>
      <c r="E1" s="19"/>
      <c r="F1" s="19"/>
      <c r="G1" s="19"/>
      <c r="H1" s="19"/>
      <c r="I1" s="19"/>
    </row>
    <row r="2" customFormat="false" ht="30" hidden="false" customHeight="true" outlineLevel="0" collapsed="false">
      <c r="A2" s="20" t="s">
        <v>385</v>
      </c>
      <c r="B2" s="20"/>
      <c r="C2" s="20"/>
      <c r="D2" s="20"/>
      <c r="E2" s="20"/>
      <c r="F2" s="20"/>
      <c r="G2" s="20"/>
      <c r="H2" s="20"/>
      <c r="I2" s="20"/>
    </row>
    <row r="3" customFormat="false" ht="7.5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</row>
    <row r="5" customFormat="false" ht="24" hidden="false" customHeight="true" outlineLevel="0" collapsed="false">
      <c r="B5" s="21" t="s">
        <v>386</v>
      </c>
      <c r="C5" s="21"/>
      <c r="D5" s="21"/>
      <c r="E5" s="21"/>
      <c r="F5" s="21"/>
      <c r="G5" s="21"/>
      <c r="H5" s="21"/>
    </row>
    <row r="6" customFormat="false" ht="15" hidden="false" customHeight="true" outlineLevel="0" collapsed="false">
      <c r="B6" s="30" t="s">
        <v>387</v>
      </c>
      <c r="C6" s="30" t="s">
        <v>388</v>
      </c>
      <c r="D6" s="30" t="s">
        <v>389</v>
      </c>
      <c r="E6" s="30" t="s">
        <v>390</v>
      </c>
      <c r="F6" s="30" t="s">
        <v>4</v>
      </c>
      <c r="G6" s="30" t="s">
        <v>24</v>
      </c>
      <c r="H6" s="30" t="s">
        <v>391</v>
      </c>
    </row>
    <row r="7" customFormat="false" ht="18" hidden="false" customHeight="true" outlineLevel="0" collapsed="false">
      <c r="B7" s="34" t="s">
        <v>392</v>
      </c>
      <c r="C7" s="31" t="s">
        <v>393</v>
      </c>
      <c r="D7" s="57" t="s">
        <v>114</v>
      </c>
      <c r="E7" s="34" t="s">
        <v>394</v>
      </c>
      <c r="F7" s="34" t="s">
        <v>395</v>
      </c>
      <c r="G7" s="34" t="s">
        <v>396</v>
      </c>
      <c r="H7" s="62" t="s">
        <v>397</v>
      </c>
    </row>
    <row r="8" customFormat="false" ht="18" hidden="false" customHeight="true" outlineLevel="0" collapsed="false">
      <c r="B8" s="38" t="s">
        <v>398</v>
      </c>
      <c r="C8" s="35" t="s">
        <v>399</v>
      </c>
      <c r="D8" s="42" t="s">
        <v>100</v>
      </c>
      <c r="E8" s="38" t="s">
        <v>400</v>
      </c>
      <c r="F8" s="38" t="s">
        <v>55</v>
      </c>
      <c r="G8" s="38" t="s">
        <v>401</v>
      </c>
      <c r="H8" s="63" t="s">
        <v>402</v>
      </c>
    </row>
    <row r="9" customFormat="false" ht="18" hidden="false" customHeight="true" outlineLevel="0" collapsed="false">
      <c r="B9" s="34" t="s">
        <v>403</v>
      </c>
      <c r="C9" s="31" t="s">
        <v>404</v>
      </c>
      <c r="D9" s="41" t="s">
        <v>100</v>
      </c>
      <c r="E9" s="34" t="s">
        <v>170</v>
      </c>
      <c r="F9" s="34" t="s">
        <v>149</v>
      </c>
      <c r="G9" s="34" t="s">
        <v>405</v>
      </c>
      <c r="H9" s="62" t="s">
        <v>406</v>
      </c>
    </row>
    <row r="10" customFormat="false" ht="18" hidden="false" customHeight="true" outlineLevel="0" collapsed="false">
      <c r="B10" s="38" t="s">
        <v>407</v>
      </c>
      <c r="C10" s="35" t="s">
        <v>408</v>
      </c>
      <c r="D10" s="42" t="s">
        <v>100</v>
      </c>
      <c r="E10" s="38" t="s">
        <v>58</v>
      </c>
      <c r="F10" s="38" t="s">
        <v>70</v>
      </c>
      <c r="G10" s="38" t="s">
        <v>409</v>
      </c>
      <c r="H10" s="63" t="s">
        <v>410</v>
      </c>
    </row>
    <row r="11" customFormat="false" ht="18" hidden="false" customHeight="true" outlineLevel="0" collapsed="false">
      <c r="B11" s="34" t="s">
        <v>411</v>
      </c>
      <c r="C11" s="31" t="s">
        <v>412</v>
      </c>
      <c r="D11" s="41" t="s">
        <v>100</v>
      </c>
      <c r="E11" s="34" t="s">
        <v>413</v>
      </c>
      <c r="F11" s="34" t="s">
        <v>232</v>
      </c>
      <c r="G11" s="34" t="s">
        <v>414</v>
      </c>
      <c r="H11" s="62" t="s">
        <v>415</v>
      </c>
    </row>
    <row r="12" customFormat="false" ht="18" hidden="false" customHeight="true" outlineLevel="0" collapsed="false">
      <c r="B12" s="38" t="s">
        <v>416</v>
      </c>
      <c r="C12" s="35" t="s">
        <v>111</v>
      </c>
      <c r="D12" s="45" t="s">
        <v>119</v>
      </c>
      <c r="E12" s="38" t="s">
        <v>417</v>
      </c>
      <c r="F12" s="38" t="s">
        <v>112</v>
      </c>
      <c r="G12" s="38" t="s">
        <v>405</v>
      </c>
      <c r="H12" s="63" t="s">
        <v>418</v>
      </c>
    </row>
    <row r="13" customFormat="false" ht="18" hidden="false" customHeight="true" outlineLevel="0" collapsed="false">
      <c r="B13" s="34" t="s">
        <v>419</v>
      </c>
      <c r="C13" s="31" t="s">
        <v>420</v>
      </c>
      <c r="D13" s="44" t="s">
        <v>119</v>
      </c>
      <c r="E13" s="34" t="s">
        <v>421</v>
      </c>
      <c r="F13" s="34" t="s">
        <v>422</v>
      </c>
      <c r="G13" s="34" t="s">
        <v>423</v>
      </c>
      <c r="H13" s="62" t="s">
        <v>424</v>
      </c>
    </row>
    <row r="14" customFormat="false" ht="18" hidden="false" customHeight="true" outlineLevel="0" collapsed="false">
      <c r="B14" s="38" t="s">
        <v>425</v>
      </c>
      <c r="C14" s="35" t="s">
        <v>169</v>
      </c>
      <c r="D14" s="45" t="s">
        <v>119</v>
      </c>
      <c r="E14" s="38" t="s">
        <v>426</v>
      </c>
      <c r="F14" s="38" t="s">
        <v>170</v>
      </c>
      <c r="G14" s="38" t="s">
        <v>427</v>
      </c>
      <c r="H14" s="63" t="s">
        <v>428</v>
      </c>
    </row>
    <row r="15" customFormat="false" ht="18" hidden="false" customHeight="true" outlineLevel="0" collapsed="false">
      <c r="B15" s="34" t="s">
        <v>429</v>
      </c>
      <c r="C15" s="31" t="s">
        <v>430</v>
      </c>
      <c r="D15" s="58" t="s">
        <v>135</v>
      </c>
      <c r="E15" s="34" t="s">
        <v>431</v>
      </c>
      <c r="F15" s="34" t="s">
        <v>128</v>
      </c>
      <c r="G15" s="34" t="s">
        <v>432</v>
      </c>
      <c r="H15" s="62" t="s">
        <v>433</v>
      </c>
    </row>
    <row r="16" customFormat="false" ht="18" hidden="false" customHeight="true" outlineLevel="0" collapsed="false">
      <c r="B16" s="38" t="s">
        <v>434</v>
      </c>
      <c r="C16" s="35" t="s">
        <v>435</v>
      </c>
      <c r="D16" s="46" t="s">
        <v>135</v>
      </c>
      <c r="E16" s="38" t="s">
        <v>436</v>
      </c>
      <c r="F16" s="38" t="s">
        <v>437</v>
      </c>
      <c r="G16" s="38" t="s">
        <v>438</v>
      </c>
      <c r="H16" s="63" t="s">
        <v>439</v>
      </c>
    </row>
    <row r="18" customFormat="false" ht="6" hidden="false" customHeight="true" outlineLevel="0" collapsed="false"/>
    <row r="19" customFormat="false" ht="24" hidden="false" customHeight="true" outlineLevel="0" collapsed="false">
      <c r="B19" s="21" t="s">
        <v>440</v>
      </c>
      <c r="C19" s="21"/>
      <c r="D19" s="21"/>
      <c r="E19" s="21"/>
      <c r="F19" s="21"/>
      <c r="G19" s="21"/>
      <c r="H19" s="21"/>
    </row>
    <row r="20" customFormat="false" ht="15" hidden="false" customHeight="true" outlineLevel="0" collapsed="false">
      <c r="B20" s="30" t="s">
        <v>441</v>
      </c>
      <c r="C20" s="30" t="s">
        <v>249</v>
      </c>
      <c r="D20" s="30" t="s">
        <v>442</v>
      </c>
      <c r="E20" s="30" t="s">
        <v>443</v>
      </c>
      <c r="F20" s="30" t="s">
        <v>444</v>
      </c>
      <c r="G20" s="30" t="s">
        <v>445</v>
      </c>
      <c r="H20" s="30" t="s">
        <v>446</v>
      </c>
    </row>
    <row r="21" customFormat="false" ht="16.5" hidden="false" customHeight="true" outlineLevel="0" collapsed="false">
      <c r="B21" s="31" t="s">
        <v>447</v>
      </c>
      <c r="C21" s="34" t="s">
        <v>250</v>
      </c>
      <c r="D21" s="34" t="s">
        <v>448</v>
      </c>
      <c r="E21" s="31" t="s">
        <v>53</v>
      </c>
      <c r="F21" s="34" t="s">
        <v>449</v>
      </c>
      <c r="G21" s="34" t="s">
        <v>450</v>
      </c>
      <c r="H21" s="34" t="s">
        <v>451</v>
      </c>
    </row>
    <row r="22" customFormat="false" ht="16.5" hidden="false" customHeight="true" outlineLevel="0" collapsed="false">
      <c r="B22" s="35" t="s">
        <v>452</v>
      </c>
      <c r="C22" s="38" t="s">
        <v>250</v>
      </c>
      <c r="D22" s="38" t="s">
        <v>448</v>
      </c>
      <c r="E22" s="35" t="s">
        <v>54</v>
      </c>
      <c r="F22" s="38" t="s">
        <v>453</v>
      </c>
      <c r="G22" s="38" t="s">
        <v>454</v>
      </c>
      <c r="H22" s="38" t="s">
        <v>451</v>
      </c>
    </row>
    <row r="23" customFormat="false" ht="16.5" hidden="false" customHeight="true" outlineLevel="0" collapsed="false">
      <c r="B23" s="31" t="s">
        <v>455</v>
      </c>
      <c r="C23" s="34" t="s">
        <v>257</v>
      </c>
      <c r="D23" s="34" t="s">
        <v>448</v>
      </c>
      <c r="E23" s="31" t="s">
        <v>148</v>
      </c>
      <c r="F23" s="34" t="s">
        <v>456</v>
      </c>
      <c r="G23" s="34" t="s">
        <v>457</v>
      </c>
      <c r="H23" s="34" t="s">
        <v>451</v>
      </c>
    </row>
    <row r="24" customFormat="false" ht="16.5" hidden="false" customHeight="true" outlineLevel="0" collapsed="false">
      <c r="B24" s="35" t="s">
        <v>458</v>
      </c>
      <c r="C24" s="38" t="s">
        <v>257</v>
      </c>
      <c r="D24" s="38" t="s">
        <v>459</v>
      </c>
      <c r="E24" s="35" t="s">
        <v>285</v>
      </c>
      <c r="F24" s="38" t="s">
        <v>460</v>
      </c>
      <c r="G24" s="38" t="s">
        <v>461</v>
      </c>
      <c r="H24" s="38" t="s">
        <v>451</v>
      </c>
    </row>
    <row r="25" customFormat="false" ht="16.5" hidden="false" customHeight="true" outlineLevel="0" collapsed="false">
      <c r="B25" s="31" t="s">
        <v>462</v>
      </c>
      <c r="C25" s="34" t="s">
        <v>257</v>
      </c>
      <c r="D25" s="34" t="s">
        <v>459</v>
      </c>
      <c r="E25" s="31" t="s">
        <v>322</v>
      </c>
      <c r="F25" s="34" t="s">
        <v>463</v>
      </c>
      <c r="G25" s="34" t="s">
        <v>464</v>
      </c>
      <c r="H25" s="34" t="s">
        <v>451</v>
      </c>
    </row>
    <row r="26" customFormat="false" ht="16.5" hidden="false" customHeight="true" outlineLevel="0" collapsed="false">
      <c r="B26" s="35" t="s">
        <v>465</v>
      </c>
      <c r="C26" s="38" t="s">
        <v>264</v>
      </c>
      <c r="D26" s="38" t="s">
        <v>459</v>
      </c>
      <c r="E26" s="35" t="s">
        <v>466</v>
      </c>
      <c r="F26" s="38" t="s">
        <v>467</v>
      </c>
      <c r="G26" s="38" t="s">
        <v>468</v>
      </c>
      <c r="H26" s="38" t="s">
        <v>469</v>
      </c>
    </row>
    <row r="27" customFormat="false" ht="16.5" hidden="false" customHeight="true" outlineLevel="0" collapsed="false">
      <c r="B27" s="31" t="s">
        <v>470</v>
      </c>
      <c r="C27" s="34" t="s">
        <v>264</v>
      </c>
      <c r="D27" s="34" t="s">
        <v>471</v>
      </c>
      <c r="E27" s="31" t="s">
        <v>472</v>
      </c>
      <c r="F27" s="34" t="s">
        <v>473</v>
      </c>
      <c r="G27" s="34" t="s">
        <v>474</v>
      </c>
      <c r="H27" s="34" t="s">
        <v>469</v>
      </c>
    </row>
    <row r="28" customFormat="false" ht="16.5" hidden="false" customHeight="true" outlineLevel="0" collapsed="false">
      <c r="B28" s="35" t="s">
        <v>475</v>
      </c>
      <c r="C28" s="38" t="s">
        <v>270</v>
      </c>
      <c r="D28" s="38" t="s">
        <v>476</v>
      </c>
      <c r="E28" s="35" t="s">
        <v>466</v>
      </c>
      <c r="F28" s="38" t="s">
        <v>453</v>
      </c>
      <c r="G28" s="38" t="s">
        <v>477</v>
      </c>
      <c r="H28" s="38" t="s">
        <v>478</v>
      </c>
    </row>
    <row r="30" customFormat="false" ht="6" hidden="false" customHeight="true" outlineLevel="0" collapsed="false"/>
    <row r="31" customFormat="false" ht="24" hidden="false" customHeight="true" outlineLevel="0" collapsed="false">
      <c r="B31" s="21" t="s">
        <v>479</v>
      </c>
      <c r="C31" s="21"/>
      <c r="D31" s="21"/>
      <c r="E31" s="21"/>
      <c r="F31" s="21"/>
      <c r="G31" s="21"/>
      <c r="H31" s="21"/>
    </row>
    <row r="32" customFormat="false" ht="19.5" hidden="false" customHeight="true" outlineLevel="0" collapsed="false">
      <c r="B32" s="47" t="s">
        <v>480</v>
      </c>
      <c r="C32" s="53" t="s">
        <v>99</v>
      </c>
      <c r="D32" s="64" t="s">
        <v>481</v>
      </c>
      <c r="E32" s="64"/>
      <c r="F32" s="64"/>
      <c r="G32" s="64"/>
      <c r="H32" s="64"/>
    </row>
    <row r="33" customFormat="false" ht="19.5" hidden="false" customHeight="true" outlineLevel="0" collapsed="false">
      <c r="B33" s="50" t="s">
        <v>482</v>
      </c>
      <c r="C33" s="56" t="s">
        <v>483</v>
      </c>
      <c r="D33" s="65" t="s">
        <v>484</v>
      </c>
      <c r="E33" s="65"/>
      <c r="F33" s="65"/>
      <c r="G33" s="65"/>
      <c r="H33" s="65"/>
    </row>
    <row r="34" customFormat="false" ht="19.5" hidden="false" customHeight="true" outlineLevel="0" collapsed="false">
      <c r="B34" s="47" t="s">
        <v>485</v>
      </c>
      <c r="C34" s="48" t="s">
        <v>486</v>
      </c>
      <c r="D34" s="64" t="s">
        <v>487</v>
      </c>
      <c r="E34" s="64"/>
      <c r="F34" s="64"/>
      <c r="G34" s="64"/>
      <c r="H34" s="64"/>
    </row>
    <row r="35" customFormat="false" ht="19.5" hidden="false" customHeight="true" outlineLevel="0" collapsed="false">
      <c r="B35" s="50" t="s">
        <v>488</v>
      </c>
      <c r="C35" s="56" t="s">
        <v>489</v>
      </c>
      <c r="D35" s="65" t="s">
        <v>490</v>
      </c>
      <c r="E35" s="65"/>
      <c r="F35" s="65"/>
      <c r="G35" s="65"/>
      <c r="H35" s="65"/>
    </row>
    <row r="36" customFormat="false" ht="19.5" hidden="false" customHeight="true" outlineLevel="0" collapsed="false">
      <c r="B36" s="47" t="s">
        <v>491</v>
      </c>
      <c r="C36" s="48" t="s">
        <v>492</v>
      </c>
      <c r="D36" s="64" t="s">
        <v>493</v>
      </c>
      <c r="E36" s="64"/>
      <c r="F36" s="64"/>
      <c r="G36" s="64"/>
      <c r="H36" s="64"/>
    </row>
    <row r="37" customFormat="false" ht="19.5" hidden="false" customHeight="true" outlineLevel="0" collapsed="false">
      <c r="B37" s="50" t="s">
        <v>494</v>
      </c>
      <c r="C37" s="56" t="s">
        <v>495</v>
      </c>
      <c r="D37" s="65" t="s">
        <v>496</v>
      </c>
      <c r="E37" s="65"/>
      <c r="F37" s="65"/>
      <c r="G37" s="65"/>
      <c r="H37" s="65"/>
    </row>
    <row r="39" customFormat="false" ht="15.75" hidden="false" customHeight="true" outlineLevel="0" collapsed="false">
      <c r="A39" s="18" t="s">
        <v>36</v>
      </c>
      <c r="B39" s="18"/>
      <c r="C39" s="18"/>
      <c r="D39" s="18"/>
      <c r="E39" s="18"/>
      <c r="F39" s="18"/>
      <c r="G39" s="18"/>
      <c r="H39" s="18"/>
      <c r="I39" s="18"/>
    </row>
  </sheetData>
  <mergeCells count="11">
    <mergeCell ref="A2:I3"/>
    <mergeCell ref="B5:H5"/>
    <mergeCell ref="B19:H19"/>
    <mergeCell ref="B31:H31"/>
    <mergeCell ref="D32:H32"/>
    <mergeCell ref="D33:H33"/>
    <mergeCell ref="D34:H34"/>
    <mergeCell ref="D35:H35"/>
    <mergeCell ref="D36:H36"/>
    <mergeCell ref="D37:H37"/>
    <mergeCell ref="A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8"/>
    <col collapsed="false" customWidth="true" hidden="false" outlineLevel="0" max="8" min="8" style="1" width="2"/>
  </cols>
  <sheetData>
    <row r="1" customFormat="false" ht="7.5" hidden="false" customHeight="true" outlineLevel="0" collapsed="false">
      <c r="A1" s="19"/>
      <c r="B1" s="19"/>
      <c r="C1" s="19"/>
      <c r="D1" s="19"/>
      <c r="E1" s="19"/>
      <c r="F1" s="19"/>
      <c r="G1" s="19"/>
      <c r="H1" s="19"/>
    </row>
    <row r="2" customFormat="false" ht="30" hidden="false" customHeight="true" outlineLevel="0" collapsed="false">
      <c r="A2" s="20" t="s">
        <v>497</v>
      </c>
      <c r="B2" s="20"/>
      <c r="C2" s="20"/>
      <c r="D2" s="20"/>
      <c r="E2" s="20"/>
      <c r="F2" s="20"/>
      <c r="G2" s="20"/>
      <c r="H2" s="20"/>
    </row>
    <row r="3" customFormat="false" ht="7.5" hidden="false" customHeight="true" outlineLevel="0" collapsed="false">
      <c r="A3" s="20"/>
      <c r="B3" s="20"/>
      <c r="C3" s="20"/>
      <c r="D3" s="20"/>
      <c r="E3" s="20"/>
      <c r="F3" s="20"/>
      <c r="G3" s="20"/>
      <c r="H3" s="20"/>
    </row>
    <row r="5" customFormat="false" ht="24" hidden="false" customHeight="true" outlineLevel="0" collapsed="false">
      <c r="B5" s="21" t="s">
        <v>498</v>
      </c>
      <c r="C5" s="21"/>
      <c r="D5" s="21"/>
      <c r="E5" s="21"/>
      <c r="F5" s="21"/>
      <c r="G5" s="21"/>
    </row>
    <row r="6" customFormat="false" ht="15" hidden="false" customHeight="true" outlineLevel="0" collapsed="false">
      <c r="B6" s="30" t="s">
        <v>499</v>
      </c>
      <c r="C6" s="30" t="s">
        <v>500</v>
      </c>
      <c r="D6" s="30" t="s">
        <v>501</v>
      </c>
      <c r="E6" s="30" t="s">
        <v>502</v>
      </c>
      <c r="F6" s="30" t="s">
        <v>503</v>
      </c>
      <c r="G6" s="30" t="s">
        <v>96</v>
      </c>
    </row>
    <row r="7" customFormat="false" ht="16.5" hidden="false" customHeight="true" outlineLevel="0" collapsed="false">
      <c r="B7" s="47" t="s">
        <v>504</v>
      </c>
      <c r="C7" s="31" t="s">
        <v>505</v>
      </c>
      <c r="D7" s="31" t="s">
        <v>506</v>
      </c>
      <c r="E7" s="34" t="s">
        <v>507</v>
      </c>
      <c r="F7" s="34" t="s">
        <v>508</v>
      </c>
      <c r="G7" s="34" t="s">
        <v>509</v>
      </c>
    </row>
    <row r="8" customFormat="false" ht="16.5" hidden="false" customHeight="true" outlineLevel="0" collapsed="false">
      <c r="B8" s="50" t="s">
        <v>510</v>
      </c>
      <c r="C8" s="35" t="s">
        <v>511</v>
      </c>
      <c r="D8" s="35" t="s">
        <v>512</v>
      </c>
      <c r="E8" s="38" t="s">
        <v>507</v>
      </c>
      <c r="F8" s="38" t="s">
        <v>513</v>
      </c>
      <c r="G8" s="38" t="s">
        <v>514</v>
      </c>
    </row>
    <row r="9" customFormat="false" ht="16.5" hidden="false" customHeight="true" outlineLevel="0" collapsed="false">
      <c r="B9" s="47" t="s">
        <v>515</v>
      </c>
      <c r="C9" s="31" t="s">
        <v>516</v>
      </c>
      <c r="D9" s="31" t="s">
        <v>517</v>
      </c>
      <c r="E9" s="34" t="s">
        <v>507</v>
      </c>
      <c r="F9" s="34" t="s">
        <v>518</v>
      </c>
      <c r="G9" s="34" t="s">
        <v>519</v>
      </c>
    </row>
    <row r="10" customFormat="false" ht="16.5" hidden="false" customHeight="true" outlineLevel="0" collapsed="false">
      <c r="B10" s="50" t="s">
        <v>520</v>
      </c>
      <c r="C10" s="35" t="s">
        <v>521</v>
      </c>
      <c r="D10" s="35" t="s">
        <v>522</v>
      </c>
      <c r="E10" s="38" t="s">
        <v>523</v>
      </c>
      <c r="F10" s="38" t="s">
        <v>524</v>
      </c>
      <c r="G10" s="38" t="s">
        <v>525</v>
      </c>
    </row>
    <row r="11" customFormat="false" ht="16.5" hidden="false" customHeight="true" outlineLevel="0" collapsed="false">
      <c r="B11" s="47" t="s">
        <v>526</v>
      </c>
      <c r="C11" s="31" t="s">
        <v>527</v>
      </c>
      <c r="D11" s="31" t="s">
        <v>528</v>
      </c>
      <c r="E11" s="34" t="s">
        <v>523</v>
      </c>
      <c r="F11" s="34" t="s">
        <v>529</v>
      </c>
      <c r="G11" s="34" t="s">
        <v>530</v>
      </c>
    </row>
    <row r="12" customFormat="false" ht="16.5" hidden="false" customHeight="true" outlineLevel="0" collapsed="false">
      <c r="B12" s="50" t="s">
        <v>531</v>
      </c>
      <c r="C12" s="35" t="s">
        <v>532</v>
      </c>
      <c r="D12" s="35" t="s">
        <v>533</v>
      </c>
      <c r="E12" s="38" t="s">
        <v>507</v>
      </c>
      <c r="F12" s="38" t="s">
        <v>534</v>
      </c>
      <c r="G12" s="38" t="s">
        <v>535</v>
      </c>
    </row>
    <row r="13" customFormat="false" ht="16.5" hidden="false" customHeight="true" outlineLevel="0" collapsed="false">
      <c r="B13" s="47" t="s">
        <v>536</v>
      </c>
      <c r="C13" s="31" t="s">
        <v>537</v>
      </c>
      <c r="D13" s="31" t="s">
        <v>538</v>
      </c>
      <c r="E13" s="34" t="s">
        <v>507</v>
      </c>
      <c r="F13" s="34" t="s">
        <v>539</v>
      </c>
      <c r="G13" s="34" t="s">
        <v>540</v>
      </c>
    </row>
    <row r="14" customFormat="false" ht="16.5" hidden="false" customHeight="true" outlineLevel="0" collapsed="false">
      <c r="B14" s="50" t="s">
        <v>541</v>
      </c>
      <c r="C14" s="35" t="s">
        <v>542</v>
      </c>
      <c r="D14" s="35" t="s">
        <v>543</v>
      </c>
      <c r="E14" s="38" t="s">
        <v>507</v>
      </c>
      <c r="F14" s="38" t="s">
        <v>544</v>
      </c>
      <c r="G14" s="38" t="s">
        <v>545</v>
      </c>
    </row>
    <row r="15" customFormat="false" ht="16.5" hidden="false" customHeight="true" outlineLevel="0" collapsed="false">
      <c r="B15" s="47" t="s">
        <v>546</v>
      </c>
      <c r="C15" s="31" t="s">
        <v>547</v>
      </c>
      <c r="D15" s="31" t="s">
        <v>548</v>
      </c>
      <c r="E15" s="34" t="s">
        <v>507</v>
      </c>
      <c r="F15" s="34" t="s">
        <v>549</v>
      </c>
      <c r="G15" s="34" t="s">
        <v>550</v>
      </c>
    </row>
    <row r="17" customFormat="false" ht="6" hidden="false" customHeight="true" outlineLevel="0" collapsed="false"/>
    <row r="18" customFormat="false" ht="24" hidden="false" customHeight="true" outlineLevel="0" collapsed="false">
      <c r="B18" s="21" t="s">
        <v>551</v>
      </c>
      <c r="C18" s="21"/>
      <c r="D18" s="21"/>
      <c r="E18" s="21"/>
      <c r="F18" s="21"/>
      <c r="G18" s="21"/>
    </row>
    <row r="19" customFormat="false" ht="15" hidden="false" customHeight="true" outlineLevel="0" collapsed="false">
      <c r="B19" s="30" t="s">
        <v>552</v>
      </c>
      <c r="C19" s="30" t="s">
        <v>553</v>
      </c>
      <c r="D19" s="30" t="s">
        <v>554</v>
      </c>
      <c r="E19" s="30" t="s">
        <v>555</v>
      </c>
      <c r="F19" s="30" t="s">
        <v>556</v>
      </c>
      <c r="G19" s="30" t="s">
        <v>557</v>
      </c>
    </row>
    <row r="20" customFormat="false" ht="16.5" hidden="false" customHeight="true" outlineLevel="0" collapsed="false">
      <c r="B20" s="47" t="s">
        <v>504</v>
      </c>
      <c r="C20" s="31" t="s">
        <v>558</v>
      </c>
      <c r="D20" s="31" t="s">
        <v>559</v>
      </c>
      <c r="E20" s="34" t="s">
        <v>507</v>
      </c>
      <c r="F20" s="34" t="s">
        <v>560</v>
      </c>
      <c r="G20" s="58" t="s">
        <v>561</v>
      </c>
    </row>
    <row r="21" customFormat="false" ht="16.5" hidden="false" customHeight="true" outlineLevel="0" collapsed="false">
      <c r="B21" s="50" t="s">
        <v>562</v>
      </c>
      <c r="C21" s="35" t="s">
        <v>563</v>
      </c>
      <c r="D21" s="35" t="s">
        <v>564</v>
      </c>
      <c r="E21" s="38" t="s">
        <v>523</v>
      </c>
      <c r="F21" s="38" t="s">
        <v>565</v>
      </c>
      <c r="G21" s="46" t="s">
        <v>561</v>
      </c>
    </row>
    <row r="22" customFormat="false" ht="16.5" hidden="false" customHeight="true" outlineLevel="0" collapsed="false">
      <c r="B22" s="47" t="s">
        <v>566</v>
      </c>
      <c r="C22" s="31" t="s">
        <v>567</v>
      </c>
      <c r="D22" s="31" t="s">
        <v>568</v>
      </c>
      <c r="E22" s="34" t="s">
        <v>507</v>
      </c>
      <c r="F22" s="34" t="s">
        <v>569</v>
      </c>
      <c r="G22" s="58" t="s">
        <v>561</v>
      </c>
    </row>
    <row r="23" customFormat="false" ht="16.5" hidden="false" customHeight="true" outlineLevel="0" collapsed="false">
      <c r="B23" s="50" t="s">
        <v>570</v>
      </c>
      <c r="C23" s="35" t="s">
        <v>571</v>
      </c>
      <c r="D23" s="35" t="s">
        <v>572</v>
      </c>
      <c r="E23" s="38" t="s">
        <v>507</v>
      </c>
      <c r="F23" s="38" t="s">
        <v>573</v>
      </c>
      <c r="G23" s="46" t="s">
        <v>561</v>
      </c>
    </row>
    <row r="24" customFormat="false" ht="16.5" hidden="false" customHeight="true" outlineLevel="0" collapsed="false">
      <c r="B24" s="47" t="s">
        <v>515</v>
      </c>
      <c r="C24" s="31" t="s">
        <v>574</v>
      </c>
      <c r="D24" s="31" t="s">
        <v>575</v>
      </c>
      <c r="E24" s="34" t="s">
        <v>507</v>
      </c>
      <c r="F24" s="34" t="s">
        <v>576</v>
      </c>
      <c r="G24" s="58" t="s">
        <v>561</v>
      </c>
    </row>
    <row r="25" customFormat="false" ht="16.5" hidden="false" customHeight="true" outlineLevel="0" collapsed="false">
      <c r="B25" s="50" t="s">
        <v>541</v>
      </c>
      <c r="C25" s="35" t="s">
        <v>577</v>
      </c>
      <c r="D25" s="35" t="s">
        <v>578</v>
      </c>
      <c r="E25" s="38" t="s">
        <v>507</v>
      </c>
      <c r="F25" s="38" t="s">
        <v>579</v>
      </c>
      <c r="G25" s="46" t="s">
        <v>561</v>
      </c>
    </row>
    <row r="26" customFormat="false" ht="16.5" hidden="false" customHeight="true" outlineLevel="0" collapsed="false">
      <c r="B26" s="47" t="s">
        <v>580</v>
      </c>
      <c r="C26" s="31" t="s">
        <v>581</v>
      </c>
      <c r="D26" s="31" t="s">
        <v>582</v>
      </c>
      <c r="E26" s="34" t="s">
        <v>507</v>
      </c>
      <c r="F26" s="34" t="s">
        <v>583</v>
      </c>
      <c r="G26" s="58" t="s">
        <v>561</v>
      </c>
    </row>
    <row r="27" customFormat="false" ht="16.5" hidden="false" customHeight="true" outlineLevel="0" collapsed="false">
      <c r="B27" s="50" t="s">
        <v>584</v>
      </c>
      <c r="C27" s="35" t="s">
        <v>585</v>
      </c>
      <c r="D27" s="35" t="s">
        <v>586</v>
      </c>
      <c r="E27" s="38" t="s">
        <v>507</v>
      </c>
      <c r="F27" s="38" t="s">
        <v>587</v>
      </c>
      <c r="G27" s="46" t="s">
        <v>561</v>
      </c>
    </row>
    <row r="28" customFormat="false" ht="16.5" hidden="false" customHeight="true" outlineLevel="0" collapsed="false">
      <c r="B28" s="47" t="s">
        <v>588</v>
      </c>
      <c r="C28" s="31" t="s">
        <v>589</v>
      </c>
      <c r="D28" s="31" t="s">
        <v>590</v>
      </c>
      <c r="E28" s="34" t="s">
        <v>507</v>
      </c>
      <c r="F28" s="34" t="s">
        <v>591</v>
      </c>
      <c r="G28" s="58" t="s">
        <v>561</v>
      </c>
    </row>
    <row r="30" customFormat="false" ht="6" hidden="false" customHeight="true" outlineLevel="0" collapsed="false"/>
    <row r="31" customFormat="false" ht="24" hidden="false" customHeight="true" outlineLevel="0" collapsed="false">
      <c r="B31" s="21" t="s">
        <v>592</v>
      </c>
      <c r="C31" s="21"/>
      <c r="D31" s="21"/>
      <c r="E31" s="21"/>
      <c r="F31" s="21"/>
      <c r="G31" s="21"/>
    </row>
    <row r="32" customFormat="false" ht="15" hidden="false" customHeight="true" outlineLevel="0" collapsed="false">
      <c r="B32" s="30" t="s">
        <v>593</v>
      </c>
      <c r="C32" s="30" t="s">
        <v>594</v>
      </c>
      <c r="D32" s="30" t="s">
        <v>595</v>
      </c>
      <c r="E32" s="30" t="s">
        <v>442</v>
      </c>
      <c r="F32" s="30" t="s">
        <v>596</v>
      </c>
      <c r="G32" s="30" t="s">
        <v>249</v>
      </c>
    </row>
    <row r="33" customFormat="false" ht="16.5" hidden="false" customHeight="true" outlineLevel="0" collapsed="false">
      <c r="B33" s="66" t="s">
        <v>597</v>
      </c>
      <c r="C33" s="31" t="s">
        <v>598</v>
      </c>
      <c r="D33" s="34" t="s">
        <v>599</v>
      </c>
      <c r="E33" s="34" t="s">
        <v>600</v>
      </c>
      <c r="F33" s="31" t="s">
        <v>601</v>
      </c>
      <c r="G33" s="34" t="s">
        <v>602</v>
      </c>
    </row>
    <row r="34" customFormat="false" ht="16.5" hidden="false" customHeight="true" outlineLevel="0" collapsed="false">
      <c r="B34" s="67" t="s">
        <v>603</v>
      </c>
      <c r="C34" s="35" t="s">
        <v>604</v>
      </c>
      <c r="D34" s="38" t="s">
        <v>605</v>
      </c>
      <c r="E34" s="38" t="s">
        <v>606</v>
      </c>
      <c r="F34" s="35" t="s">
        <v>607</v>
      </c>
      <c r="G34" s="38" t="s">
        <v>608</v>
      </c>
    </row>
    <row r="35" customFormat="false" ht="16.5" hidden="false" customHeight="true" outlineLevel="0" collapsed="false">
      <c r="B35" s="66" t="s">
        <v>609</v>
      </c>
      <c r="C35" s="31" t="s">
        <v>610</v>
      </c>
      <c r="D35" s="34" t="s">
        <v>611</v>
      </c>
      <c r="E35" s="34" t="s">
        <v>606</v>
      </c>
      <c r="F35" s="31" t="s">
        <v>612</v>
      </c>
      <c r="G35" s="34" t="s">
        <v>608</v>
      </c>
    </row>
    <row r="36" customFormat="false" ht="16.5" hidden="false" customHeight="true" outlineLevel="0" collapsed="false">
      <c r="B36" s="67" t="s">
        <v>613</v>
      </c>
      <c r="C36" s="35" t="s">
        <v>614</v>
      </c>
      <c r="D36" s="38" t="s">
        <v>615</v>
      </c>
      <c r="E36" s="38" t="s">
        <v>616</v>
      </c>
      <c r="F36" s="35" t="s">
        <v>617</v>
      </c>
      <c r="G36" s="38" t="s">
        <v>618</v>
      </c>
    </row>
    <row r="37" customFormat="false" ht="16.5" hidden="false" customHeight="true" outlineLevel="0" collapsed="false">
      <c r="B37" s="66" t="s">
        <v>619</v>
      </c>
      <c r="C37" s="31" t="s">
        <v>620</v>
      </c>
      <c r="D37" s="34" t="s">
        <v>621</v>
      </c>
      <c r="E37" s="34" t="s">
        <v>616</v>
      </c>
      <c r="F37" s="31" t="s">
        <v>622</v>
      </c>
      <c r="G37" s="34" t="s">
        <v>618</v>
      </c>
    </row>
    <row r="38" customFormat="false" ht="16.5" hidden="false" customHeight="true" outlineLevel="0" collapsed="false">
      <c r="B38" s="67" t="s">
        <v>623</v>
      </c>
      <c r="C38" s="35" t="s">
        <v>624</v>
      </c>
      <c r="D38" s="38" t="s">
        <v>625</v>
      </c>
      <c r="E38" s="38" t="s">
        <v>626</v>
      </c>
      <c r="F38" s="35" t="s">
        <v>627</v>
      </c>
      <c r="G38" s="38" t="s">
        <v>628</v>
      </c>
    </row>
    <row r="40" customFormat="false" ht="15.75" hidden="false" customHeight="true" outlineLevel="0" collapsed="false">
      <c r="A40" s="18" t="s">
        <v>36</v>
      </c>
      <c r="B40" s="18"/>
      <c r="C40" s="18"/>
      <c r="D40" s="18"/>
      <c r="E40" s="18"/>
      <c r="F40" s="18"/>
      <c r="G40" s="18"/>
      <c r="H40" s="18"/>
      <c r="I40" s="18"/>
    </row>
  </sheetData>
  <mergeCells count="5">
    <mergeCell ref="A2:H3"/>
    <mergeCell ref="B5:G5"/>
    <mergeCell ref="B18:G18"/>
    <mergeCell ref="B31:G31"/>
    <mergeCell ref="A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2026-05-19T05:59:22Z</dcterms:created>
  <dc:creator>openpyxl</dc:creator>
  <dc:description/>
  <dc:language>en-US</dc:language>
  <cp:lastModifiedBy/>
  <dcterms:modified xsi:type="dcterms:W3CDTF">2026-05-19T05:59:51Z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